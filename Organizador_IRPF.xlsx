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Parametros" sheetId="2" state="visible" r:id="rId4"/>
    <sheet name="Dependentes" sheetId="3" state="visible" r:id="rId5"/>
    <sheet name="Rendimentos" sheetId="4" state="visible" r:id="rId6"/>
    <sheet name="Deducoes" sheetId="5" state="visible" r:id="rId7"/>
    <sheet name="Bens_Direitos" sheetId="6" state="visible" r:id="rId8"/>
    <sheet name="Dividas" sheetId="7" state="visible" r:id="rId9"/>
    <sheet name="Resumo" sheetId="8" state="visible" r:id="rId10"/>
    <sheet name="Links" sheetId="9" state="visible" r:id="rId11"/>
    <sheet name="Listas" sheetId="10" state="visible" r:id="rId12"/>
  </sheets>
  <definedNames>
    <definedName function="false" hidden="true" localSheetId="5" name="_xlnm._FilterDatabase" vbProcedure="false">Bens_Direitos!$A$4:$G$505</definedName>
    <definedName function="false" hidden="true" localSheetId="4" name="_xlnm._FilterDatabase" vbProcedure="false">Deducoes!$A$4:$I$505</definedName>
    <definedName function="false" hidden="true" localSheetId="3" name="_xlnm._FilterDatabase" vbProcedure="false">Rendimentos!$A$4:$J$505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Linha de EXEMPLO (fora dos totais). Preencha a partir da linha abaixo.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Linha de EXEMPLO (fora dos totais). Preencha a partir da linha abaixo.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Linha de EXEMPLO (fora dos totais). Preencha a partir da linha abaixo.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Linha de EXEMPLO (fora dos totais). Preencha a partir da linha abaixo.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Linha de EXEMPLO (fora dos totais). Preencha a partir da linha abaixo.</t>
        </r>
      </text>
    </comment>
  </commentList>
</comments>
</file>

<file path=xl/sharedStrings.xml><?xml version="1.0" encoding="utf-8"?>
<sst xmlns="http://schemas.openxmlformats.org/spreadsheetml/2006/main" count="237" uniqueCount="196">
  <si>
    <t xml:space="preserve">Organizador do Imposto de Renda</t>
  </si>
  <si>
    <t xml:space="preserve">Reúna rendimentos, despesas, bens e dívidas em um só lugar e confira o resumo antes de declarar.</t>
  </si>
  <si>
    <t xml:space="preserve">1. Parâmetros</t>
  </si>
  <si>
    <t xml:space="preserve">Ano-calendário e valores de referência (limites e deduções).</t>
  </si>
  <si>
    <t xml:space="preserve">2. Dependentes</t>
  </si>
  <si>
    <t xml:space="preserve">Cadastre dependentes e veja a idade automaticamente.</t>
  </si>
  <si>
    <t xml:space="preserve">3. Rendimentos</t>
  </si>
  <si>
    <t xml:space="preserve">Salários, aluguéis, dividendos e outras entradas, com IRRF.</t>
  </si>
  <si>
    <t xml:space="preserve">4. Despesas dedutíveis</t>
  </si>
  <si>
    <t xml:space="preserve">Saúde, educação, PGBL, pensão alimentícia e livro-caixa.</t>
  </si>
  <si>
    <t xml:space="preserve">5. Bens e direitos</t>
  </si>
  <si>
    <t xml:space="preserve">Imóveis, veículos, contas e investimentos.</t>
  </si>
  <si>
    <t xml:space="preserve">6. Dívidas e ônus</t>
  </si>
  <si>
    <t xml:space="preserve">Financiamentos e empréstimos.</t>
  </si>
  <si>
    <t xml:space="preserve">7. Resumo</t>
  </si>
  <si>
    <t xml:space="preserve">Totais, comparativo de modelos, patrimônio e pendências.</t>
  </si>
  <si>
    <t xml:space="preserve">8. Links rápidos</t>
  </si>
  <si>
    <t xml:space="preserve">Sites oficiais da Receita Federal e serviços úteis.</t>
  </si>
  <si>
    <t xml:space="preserve">9. Listas (menus suspensos)</t>
  </si>
  <si>
    <t xml:space="preserve">Edite as opções usadas nos menus de seleção.</t>
  </si>
  <si>
    <t xml:space="preserve">Como usar</t>
  </si>
  <si>
    <t xml:space="preserve">• Preencha as células em branco a partir da linha 6 de cada aba; a linha amarela (linha 5) é apenas um exemplo.</t>
  </si>
  <si>
    <t xml:space="preserve">• Campos com menu suspenso só aceitam opções da lista; datas, valores e CPF/CNPJ são validados automaticamente.</t>
  </si>
  <si>
    <t xml:space="preserve">• Células cinzas são fórmulas — não digite nelas.</t>
  </si>
  <si>
    <t xml:space="preserve">• Células vermelhas em CPF/CNPJ indicam valor lançado sem documento da fonte/prestador.</t>
  </si>
  <si>
    <t xml:space="preserve">• Confira os parâmetros do ano na aba Parametros. O Resumo é apenas apoio: o cálculo oficial é do programa da Receita.</t>
  </si>
  <si>
    <t xml:space="preserve">Parâmetros do ano</t>
  </si>
  <si>
    <t xml:space="preserve">Células amarelas são editáveis. CONFIRA os valores na tabela oficial da Receita Federal do ano.</t>
  </si>
  <si>
    <t xml:space="preserve">← Voltar ao Menu</t>
  </si>
  <si>
    <t xml:space="preserve">Ano-calendário</t>
  </si>
  <si>
    <t xml:space="preserve">Ano dos rendimentos que serão declarados.</t>
  </si>
  <si>
    <t xml:space="preserve">Dedução anual por dependente (R$)</t>
  </si>
  <si>
    <t xml:space="preserve">Valor de referência (2025). Confirme no site da Receita.</t>
  </si>
  <si>
    <t xml:space="preserve">Limite anual de dedução com instrução, por pessoa (R$)</t>
  </si>
  <si>
    <t xml:space="preserve">Limite de dedução da previdência privada (PGBL)</t>
  </si>
  <si>
    <t xml:space="preserve">% dos rendimentos tributáveis.</t>
  </si>
  <si>
    <t xml:space="preserve">Desconto simplificado — percentual</t>
  </si>
  <si>
    <t xml:space="preserve">Valor de referência. Confirme no site da Receita.</t>
  </si>
  <si>
    <t xml:space="preserve">Desconto simplificado — limite (R$)</t>
  </si>
  <si>
    <t xml:space="preserve">Dependentes</t>
  </si>
  <si>
    <t xml:space="preserve">Cadastre os dependentes antes de lançar despesas. Linha amarela = exemplo (fora dos cálculos).</t>
  </si>
  <si>
    <t xml:space="preserve">Nome</t>
  </si>
  <si>
    <t xml:space="preserve">CPF</t>
  </si>
  <si>
    <t xml:space="preserve">Data de nascimento</t>
  </si>
  <si>
    <t xml:space="preserve">Parentesco</t>
  </si>
  <si>
    <t xml:space="preserve">Dependente ativo?</t>
  </si>
  <si>
    <t xml:space="preserve">Idade (anos)</t>
  </si>
  <si>
    <t xml:space="preserve">Maria Silva (exemplo)</t>
  </si>
  <si>
    <t xml:space="preserve">123.456.789-09</t>
  </si>
  <si>
    <t xml:space="preserve">Filho(a) até 21 anos</t>
  </si>
  <si>
    <t xml:space="preserve">Sim</t>
  </si>
  <si>
    <t xml:space="preserve">Rendimentos recebidos</t>
  </si>
  <si>
    <t xml:space="preserve">Lance cada fonte pagadora. A coluna Classificação é preenchida automaticamente. Linha amarela = exemplo.</t>
  </si>
  <si>
    <t xml:space="preserve">Data</t>
  </si>
  <si>
    <t xml:space="preserve">Tipo de rendimento</t>
  </si>
  <si>
    <t xml:space="preserve">Fonte pagadora</t>
  </si>
  <si>
    <t xml:space="preserve">CPF/CNPJ da fonte</t>
  </si>
  <si>
    <t xml:space="preserve">Titular / Dependente</t>
  </si>
  <si>
    <t xml:space="preserve">Valor bruto (R$)</t>
  </si>
  <si>
    <t xml:space="preserve">IRRF retido (R$)</t>
  </si>
  <si>
    <t xml:space="preserve">Previdência oficial (R$)</t>
  </si>
  <si>
    <t xml:space="preserve">Observações</t>
  </si>
  <si>
    <t xml:space="preserve">Classificação</t>
  </si>
  <si>
    <t xml:space="preserve">Salário / pró-labore</t>
  </si>
  <si>
    <t xml:space="preserve">Empresa Exemplo Ltda</t>
  </si>
  <si>
    <t xml:space="preserve">12.345.678/0001-95</t>
  </si>
  <si>
    <t xml:space="preserve">Titular</t>
  </si>
  <si>
    <t xml:space="preserve">Exemplo — apague ou sobrescreva</t>
  </si>
  <si>
    <t xml:space="preserve">Tributável</t>
  </si>
  <si>
    <t xml:space="preserve">Despesas dedutíveis</t>
  </si>
  <si>
    <t xml:space="preserve">Saúde, educação, previdência privada, pensão e livro-caixa. Linha amarela = exemplo.</t>
  </si>
  <si>
    <t xml:space="preserve">Tipo de dedução</t>
  </si>
  <si>
    <t xml:space="preserve">Beneficiário</t>
  </si>
  <si>
    <t xml:space="preserve">Prestador / Profissional</t>
  </si>
  <si>
    <t xml:space="preserve">CPF/CNPJ do prestador</t>
  </si>
  <si>
    <t xml:space="preserve">Valor pago (R$)</t>
  </si>
  <si>
    <t xml:space="preserve">Reembolsado (R$)</t>
  </si>
  <si>
    <t xml:space="preserve">Valor líquido (R$)</t>
  </si>
  <si>
    <t xml:space="preserve">Comprovante / Observações</t>
  </si>
  <si>
    <t xml:space="preserve">Saúde</t>
  </si>
  <si>
    <t xml:space="preserve">Clínica Exemplo S/S</t>
  </si>
  <si>
    <t xml:space="preserve">98.765.432/0001-10</t>
  </si>
  <si>
    <t xml:space="preserve">Recibo nº 123 (exemplo)</t>
  </si>
  <si>
    <t xml:space="preserve">Bens e direitos</t>
  </si>
  <si>
    <t xml:space="preserve">Informe a situação em 31/12 do ano anterior e do ano-calendário. Linha amarela = exemplo.</t>
  </si>
  <si>
    <t xml:space="preserve">Grupo</t>
  </si>
  <si>
    <t xml:space="preserve">Discriminação</t>
  </si>
  <si>
    <t xml:space="preserve">Data de aquisição</t>
  </si>
  <si>
    <t xml:space="preserve">CPF/CNPJ (banco, corretora, etc.)</t>
  </si>
  <si>
    <t xml:space="preserve">Situação em 31/12 ano anterior (R$)</t>
  </si>
  <si>
    <t xml:space="preserve">Situação em 31/12 ano atual (R$)</t>
  </si>
  <si>
    <t xml:space="preserve">06 - Depósitos à vista / contas</t>
  </si>
  <si>
    <t xml:space="preserve">Conta corrente — Banco Exemplo, ag. 0001</t>
  </si>
  <si>
    <t xml:space="preserve">00.000.000/0001-91</t>
  </si>
  <si>
    <t xml:space="preserve">Exemplo</t>
  </si>
  <si>
    <t xml:space="preserve">Dívidas e ônus reais</t>
  </si>
  <si>
    <t xml:space="preserve">Financiamentos, empréstimos e outras dívidas. Linha amarela = exemplo.</t>
  </si>
  <si>
    <t xml:space="preserve">Credor</t>
  </si>
  <si>
    <t xml:space="preserve">CPF/CNPJ do credor</t>
  </si>
  <si>
    <t xml:space="preserve">Descrição</t>
  </si>
  <si>
    <t xml:space="preserve">Saldo em 31/12 ano anterior (R$)</t>
  </si>
  <si>
    <t xml:space="preserve">Saldo em 31/12 ano atual (R$)</t>
  </si>
  <si>
    <t xml:space="preserve">Banco Exemplo S.A.</t>
  </si>
  <si>
    <t xml:space="preserve">Financiamento de veículo</t>
  </si>
  <si>
    <t xml:space="preserve">Resumo para a declaração</t>
  </si>
  <si>
    <t xml:space="preserve">Tudo é calculado automaticamente a partir das abas de lançamento.</t>
  </si>
  <si>
    <t xml:space="preserve">RENDIMENTOS</t>
  </si>
  <si>
    <t xml:space="preserve">Rendimentos tributáveis</t>
  </si>
  <si>
    <t xml:space="preserve">Rendimentos sujeitos à tributação exclusiva</t>
  </si>
  <si>
    <t xml:space="preserve">Rendimentos isentos e não tributáveis</t>
  </si>
  <si>
    <t xml:space="preserve">Imposto retido na fonte (IRRF)</t>
  </si>
  <si>
    <t xml:space="preserve">DEDUÇÕES (modelo completo)</t>
  </si>
  <si>
    <t xml:space="preserve">Contribuição previdenciária oficial</t>
  </si>
  <si>
    <t xml:space="preserve">Despesas com saúde (líquidas de reembolso)</t>
  </si>
  <si>
    <t xml:space="preserve">Sem limite de valor.</t>
  </si>
  <si>
    <t xml:space="preserve">Despesas com educação informadas</t>
  </si>
  <si>
    <t xml:space="preserve">Quantidade de dependentes ativos</t>
  </si>
  <si>
    <t xml:space="preserve">Educação dedutível (estimativa)</t>
  </si>
  <si>
    <t xml:space="preserve">Limite por pessoa × (titular + dependentes). Estimativa: o limite real vale por pessoa.</t>
  </si>
  <si>
    <t xml:space="preserve">Dedução com dependentes</t>
  </si>
  <si>
    <t xml:space="preserve">Previdência privada (PGBL) dedutível</t>
  </si>
  <si>
    <t xml:space="preserve">Limitada a % dos rendimentos tributáveis.</t>
  </si>
  <si>
    <t xml:space="preserve">Pensão alimentícia</t>
  </si>
  <si>
    <t xml:space="preserve">Livro-caixa</t>
  </si>
  <si>
    <t xml:space="preserve">Total de deduções legais</t>
  </si>
  <si>
    <t xml:space="preserve">COMPARATIVO DE MODELOS (estimativa de base de cálculo)</t>
  </si>
  <si>
    <t xml:space="preserve">Base de cálculo — modelo completo</t>
  </si>
  <si>
    <t xml:space="preserve">Rendimentos tributáveis − deduções legais.</t>
  </si>
  <si>
    <t xml:space="preserve">Desconto simplificado</t>
  </si>
  <si>
    <t xml:space="preserve">Confira os parâmetros na aba Parametros.</t>
  </si>
  <si>
    <t xml:space="preserve">Base de cálculo — modelo simplificado</t>
  </si>
  <si>
    <t xml:space="preserve">Modelo com menor base de cálculo</t>
  </si>
  <si>
    <t xml:space="preserve">Indicativo. O programa da Receita faz o cálculo oficial.</t>
  </si>
  <si>
    <t xml:space="preserve">PATRIMÔNIO</t>
  </si>
  <si>
    <t xml:space="preserve">Bens e direitos — 31/12 ano anterior</t>
  </si>
  <si>
    <t xml:space="preserve">Bens e direitos — 31/12 ano atual</t>
  </si>
  <si>
    <t xml:space="preserve">Dívidas — 31/12 ano anterior</t>
  </si>
  <si>
    <t xml:space="preserve">Dívidas — 31/12 ano atual</t>
  </si>
  <si>
    <t xml:space="preserve">Patrimônio líquido — ano anterior</t>
  </si>
  <si>
    <t xml:space="preserve">Patrimônio líquido — ano atual</t>
  </si>
  <si>
    <t xml:space="preserve">Variação patrimonial</t>
  </si>
  <si>
    <t xml:space="preserve">PENDÊNCIAS</t>
  </si>
  <si>
    <t xml:space="preserve">Rendimentos sem CPF/CNPJ da fonte</t>
  </si>
  <si>
    <t xml:space="preserve">Deve ser zero antes de declarar.</t>
  </si>
  <si>
    <t xml:space="preserve">Despesas dedutíveis sem CPF/CNPJ do prestador</t>
  </si>
  <si>
    <t xml:space="preserve">Situação</t>
  </si>
  <si>
    <t xml:space="preserve">Links rápidos</t>
  </si>
  <si>
    <t xml:space="preserve">Sites oficiais úteis durante a declaração (abrem no navegador).</t>
  </si>
  <si>
    <t xml:space="preserve">Serviço</t>
  </si>
  <si>
    <t xml:space="preserve">Endereço / descrição</t>
  </si>
  <si>
    <t xml:space="preserve">Meu Imposto de Renda (Receita Federal)</t>
  </si>
  <si>
    <t xml:space="preserve">Programa, prazos, perguntas e respostas.</t>
  </si>
  <si>
    <t xml:space="preserve">Portal e-CAC</t>
  </si>
  <si>
    <t xml:space="preserve">Declaração pré-preenchida, extratos e situação fiscal.</t>
  </si>
  <si>
    <t xml:space="preserve">Consulta à restituição</t>
  </si>
  <si>
    <t xml:space="preserve">Acompanhe a restituição do imposto.</t>
  </si>
  <si>
    <t xml:space="preserve">Consulta de CNPJ</t>
  </si>
  <si>
    <t xml:space="preserve">Confirme o CNPJ de fontes e prestadores.</t>
  </si>
  <si>
    <t xml:space="preserve">Meu INSS</t>
  </si>
  <si>
    <t xml:space="preserve">Informe de rendimentos de aposentadoria e pensão.</t>
  </si>
  <si>
    <t xml:space="preserve">Gov.br</t>
  </si>
  <si>
    <t xml:space="preserve">Acesso aos serviços digitais do governo.</t>
  </si>
  <si>
    <t xml:space="preserve">Sim/Não</t>
  </si>
  <si>
    <t xml:space="preserve">Grupo do bem</t>
  </si>
  <si>
    <t xml:space="preserve">Cônjuge / companheiro(a)</t>
  </si>
  <si>
    <t xml:space="preserve">01 - Imóveis</t>
  </si>
  <si>
    <t xml:space="preserve">Aposentadoria / pensão (tributável)</t>
  </si>
  <si>
    <t xml:space="preserve">Educação</t>
  </si>
  <si>
    <t xml:space="preserve">Não</t>
  </si>
  <si>
    <t xml:space="preserve">02 - Veículos</t>
  </si>
  <si>
    <t xml:space="preserve">Aluguel recebido</t>
  </si>
  <si>
    <t xml:space="preserve">Previdência privada (PGBL)</t>
  </si>
  <si>
    <t xml:space="preserve">Filho(a) até 24 anos (universitário)</t>
  </si>
  <si>
    <t xml:space="preserve">03 - Participações societárias</t>
  </si>
  <si>
    <t xml:space="preserve">Trabalho autônomo</t>
  </si>
  <si>
    <t xml:space="preserve">Filho(a) incapaz</t>
  </si>
  <si>
    <t xml:space="preserve">04 - Aplicações e investimentos</t>
  </si>
  <si>
    <t xml:space="preserve">Rendimento recebido de pessoa física</t>
  </si>
  <si>
    <t xml:space="preserve">Pais / avós</t>
  </si>
  <si>
    <t xml:space="preserve">13º salário</t>
  </si>
  <si>
    <t xml:space="preserve">Exclusivo na fonte</t>
  </si>
  <si>
    <t xml:space="preserve">Menor sob guarda</t>
  </si>
  <si>
    <t xml:space="preserve">07 - Fundos</t>
  </si>
  <si>
    <t xml:space="preserve">PLR</t>
  </si>
  <si>
    <t xml:space="preserve">Outro</t>
  </si>
  <si>
    <t xml:space="preserve">08 - Criptoativos</t>
  </si>
  <si>
    <t xml:space="preserve">Rendimento de aplicação financeira</t>
  </si>
  <si>
    <t xml:space="preserve">99 - Outros bens e direitos</t>
  </si>
  <si>
    <t xml:space="preserve">Juros sobre capital próprio</t>
  </si>
  <si>
    <t xml:space="preserve">Lucros e dividendos</t>
  </si>
  <si>
    <t xml:space="preserve">Isento</t>
  </si>
  <si>
    <t xml:space="preserve">Poupança / LCI / LCA</t>
  </si>
  <si>
    <t xml:space="preserve">Indenização / FGTS</t>
  </si>
  <si>
    <t xml:space="preserve">Herança / doação recebida</t>
  </si>
  <si>
    <t xml:space="preserve">Outros rendimentos isentos</t>
  </si>
  <si>
    <t xml:space="preserve">Edite estas listas para ajustar as opções dos menus suspensos. A classificação (coluna B) alimenta o Resumo.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</si>
</sst>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;\(#,##0.00\);\-"/>
    <numFmt numFmtId="167" formatCode="0%"/>
    <numFmt numFmtId="168" formatCode="@"/>
    <numFmt numFmtId="169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5C45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5C45"/>
      <name val="Arial"/>
      <family val="0"/>
      <charset val="1"/>
    </font>
    <font>
      <b val="true"/>
      <sz val="16"/>
      <color rgb="FF1F5C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F1EC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5C45"/>
        <bgColor rgb="FF003366"/>
      </patternFill>
    </fill>
    <fill>
      <patternFill patternType="solid">
        <fgColor rgb="FFF2F2F2"/>
        <bgColor rgb="FFE8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5C4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8F1EC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gov.br/receitafederal/pt-br/assuntos/meu-imposto-de-renda" TargetMode="External"/><Relationship Id="rId2" Type="http://schemas.openxmlformats.org/officeDocument/2006/relationships/hyperlink" Target="https://cav.receita.fazenda.gov.br/" TargetMode="External"/><Relationship Id="rId3" Type="http://schemas.openxmlformats.org/officeDocument/2006/relationships/hyperlink" Target="https://www.restituicao.receita.fazenda.gov.br/" TargetMode="External"/><Relationship Id="rId4" Type="http://schemas.openxmlformats.org/officeDocument/2006/relationships/hyperlink" Target="https://solucoes.receita.fazenda.gov.br/Servicos/cnpjreva/Cnpjreva_Solicitacao.asp" TargetMode="External"/><Relationship Id="rId5" Type="http://schemas.openxmlformats.org/officeDocument/2006/relationships/hyperlink" Target="https://meu.inss.gov.br/" TargetMode="External"/><Relationship Id="rId6" Type="http://schemas.openxmlformats.org/officeDocument/2006/relationships/hyperlink" Target="https://www.gov.b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45"/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8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5.5" hidden="false" customHeight="true" outlineLevel="0" collapsed="false">
      <c r="B5" s="3" t="s">
        <v>2</v>
      </c>
      <c r="C5" s="4" t="s">
        <v>3</v>
      </c>
    </row>
    <row r="6" customFormat="false" ht="25.5" hidden="false" customHeight="true" outlineLevel="0" collapsed="false">
      <c r="B6" s="3" t="s">
        <v>4</v>
      </c>
      <c r="C6" s="4" t="s">
        <v>5</v>
      </c>
    </row>
    <row r="7" customFormat="false" ht="25.5" hidden="false" customHeight="true" outlineLevel="0" collapsed="false">
      <c r="B7" s="3" t="s">
        <v>6</v>
      </c>
      <c r="C7" s="4" t="s">
        <v>7</v>
      </c>
    </row>
    <row r="8" customFormat="false" ht="25.5" hidden="false" customHeight="true" outlineLevel="0" collapsed="false">
      <c r="B8" s="3" t="s">
        <v>8</v>
      </c>
      <c r="C8" s="4" t="s">
        <v>9</v>
      </c>
    </row>
    <row r="9" customFormat="false" ht="25.5" hidden="false" customHeight="true" outlineLevel="0" collapsed="false">
      <c r="B9" s="3" t="s">
        <v>10</v>
      </c>
      <c r="C9" s="4" t="s">
        <v>11</v>
      </c>
    </row>
    <row r="10" customFormat="false" ht="25.5" hidden="false" customHeight="true" outlineLevel="0" collapsed="false">
      <c r="B10" s="3" t="s">
        <v>12</v>
      </c>
      <c r="C10" s="4" t="s">
        <v>13</v>
      </c>
    </row>
    <row r="11" customFormat="false" ht="25.5" hidden="false" customHeight="true" outlineLevel="0" collapsed="false">
      <c r="B11" s="3" t="s">
        <v>14</v>
      </c>
      <c r="C11" s="4" t="s">
        <v>15</v>
      </c>
    </row>
    <row r="12" customFormat="false" ht="25.5" hidden="false" customHeight="true" outlineLevel="0" collapsed="false">
      <c r="B12" s="3" t="s">
        <v>16</v>
      </c>
      <c r="C12" s="4" t="s">
        <v>17</v>
      </c>
    </row>
    <row r="13" customFormat="false" ht="25.5" hidden="false" customHeight="true" outlineLevel="0" collapsed="false">
      <c r="B13" s="3" t="s">
        <v>18</v>
      </c>
      <c r="C13" s="4" t="s">
        <v>19</v>
      </c>
    </row>
    <row r="15" customFormat="false" ht="15" hidden="false" customHeight="false" outlineLevel="0" collapsed="false">
      <c r="B15" s="5" t="s">
        <v>20</v>
      </c>
    </row>
    <row r="16" customFormat="false" ht="15" hidden="false" customHeight="false" outlineLevel="0" collapsed="false">
      <c r="B16" s="6" t="s">
        <v>21</v>
      </c>
    </row>
    <row r="17" customFormat="false" ht="15" hidden="false" customHeight="false" outlineLevel="0" collapsed="false">
      <c r="B17" s="6" t="s">
        <v>22</v>
      </c>
    </row>
    <row r="18" customFormat="false" ht="15" hidden="false" customHeight="false" outlineLevel="0" collapsed="false">
      <c r="B18" s="6" t="s">
        <v>23</v>
      </c>
    </row>
    <row r="19" customFormat="false" ht="15" hidden="false" customHeight="false" outlineLevel="0" collapsed="false">
      <c r="B19" s="6" t="s">
        <v>24</v>
      </c>
    </row>
    <row r="20" customFormat="false" ht="15" hidden="false" customHeight="false" outlineLevel="0" collapsed="false">
      <c r="B20" s="6" t="s">
        <v>25</v>
      </c>
    </row>
  </sheetData>
  <hyperlinks>
    <hyperlink ref="B5" location="'Parametros'!A1" display="1. Parâmetros"/>
    <hyperlink ref="B6" location="'Dependentes'!A1" display="2. Dependentes"/>
    <hyperlink ref="B7" location="'Rendimentos'!A1" display="3. Rendimentos"/>
    <hyperlink ref="B8" location="'Deducoes'!A1" display="4. Despesas dedutíveis"/>
    <hyperlink ref="B9" location="'Bens_Direitos'!A1" display="5. Bens e direitos"/>
    <hyperlink ref="B10" location="'Dividas'!A1" display="6. Dívidas e ônus"/>
    <hyperlink ref="B11" location="'Resumo'!A1" display="7. Resumo"/>
    <hyperlink ref="B12" location="'Links'!A1" display="8. Links rápidos"/>
    <hyperlink ref="B13" location="'Listas'!A1" display="9. Listas (menus suspensos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7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8" t="s">
        <v>28</v>
      </c>
    </row>
    <row r="5" customFormat="false" ht="15" hidden="false" customHeight="false" outlineLevel="0" collapsed="false">
      <c r="A5" s="9" t="s">
        <v>29</v>
      </c>
      <c r="B5" s="10" t="n">
        <v>2025</v>
      </c>
      <c r="C5" s="2" t="s">
        <v>30</v>
      </c>
    </row>
    <row r="6" customFormat="false" ht="15" hidden="false" customHeight="false" outlineLevel="0" collapsed="false">
      <c r="A6" s="9" t="s">
        <v>31</v>
      </c>
      <c r="B6" s="11" t="n">
        <v>2275.08</v>
      </c>
      <c r="C6" s="2" t="s">
        <v>32</v>
      </c>
    </row>
    <row r="7" customFormat="false" ht="15" hidden="false" customHeight="false" outlineLevel="0" collapsed="false">
      <c r="A7" s="9" t="s">
        <v>33</v>
      </c>
      <c r="B7" s="11" t="n">
        <v>3561.5</v>
      </c>
      <c r="C7" s="2" t="s">
        <v>32</v>
      </c>
    </row>
    <row r="8" customFormat="false" ht="15" hidden="false" customHeight="false" outlineLevel="0" collapsed="false">
      <c r="A8" s="9" t="s">
        <v>34</v>
      </c>
      <c r="B8" s="12" t="n">
        <v>0.12</v>
      </c>
      <c r="C8" s="2" t="s">
        <v>35</v>
      </c>
    </row>
    <row r="9" customFormat="false" ht="15" hidden="false" customHeight="false" outlineLevel="0" collapsed="false">
      <c r="A9" s="9" t="s">
        <v>36</v>
      </c>
      <c r="B9" s="12" t="n">
        <v>0.2</v>
      </c>
      <c r="C9" s="2" t="s">
        <v>37</v>
      </c>
    </row>
    <row r="10" customFormat="false" ht="15" hidden="false" customHeight="false" outlineLevel="0" collapsed="false">
      <c r="A10" s="9" t="s">
        <v>38</v>
      </c>
      <c r="B10" s="11" t="n">
        <v>16754.34</v>
      </c>
      <c r="C10" s="2" t="s">
        <v>37</v>
      </c>
    </row>
  </sheetData>
  <hyperlinks>
    <hyperlink ref="A3" location="'Menu'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7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8" t="s">
        <v>28</v>
      </c>
    </row>
    <row r="4" customFormat="false" ht="31.5" hidden="false" customHeight="true" outlineLevel="0" collapsed="false">
      <c r="A4" s="13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3" t="s">
        <v>46</v>
      </c>
    </row>
    <row r="5" customFormat="false" ht="15" hidden="false" customHeight="false" outlineLevel="0" collapsed="false">
      <c r="A5" s="14" t="s">
        <v>47</v>
      </c>
      <c r="B5" s="15" t="s">
        <v>48</v>
      </c>
      <c r="C5" s="16" t="n">
        <v>42075</v>
      </c>
      <c r="D5" s="14" t="s">
        <v>49</v>
      </c>
      <c r="E5" s="14" t="s">
        <v>50</v>
      </c>
      <c r="F5" s="14" t="n">
        <f aca="true">DATEDIF(C5,TODAY(),"Y")</f>
        <v>11</v>
      </c>
    </row>
    <row r="6" customFormat="false" ht="15" hidden="false" customHeight="false" outlineLevel="0" collapsed="false">
      <c r="A6" s="17"/>
      <c r="B6" s="18"/>
      <c r="C6" s="19"/>
      <c r="D6" s="17"/>
      <c r="E6" s="17"/>
      <c r="F6" s="20" t="str">
        <f aca="true">IF(C6="","",DATEDIF(C6,TODAY(),"Y"))</f>
        <v/>
      </c>
    </row>
    <row r="7" customFormat="false" ht="15" hidden="false" customHeight="false" outlineLevel="0" collapsed="false">
      <c r="A7" s="17"/>
      <c r="B7" s="18"/>
      <c r="C7" s="19"/>
      <c r="D7" s="17"/>
      <c r="E7" s="17"/>
      <c r="F7" s="20" t="str">
        <f aca="true">IF(C7="","",DATEDIF(C7,TODAY(),"Y"))</f>
        <v/>
      </c>
    </row>
    <row r="8" customFormat="false" ht="15" hidden="false" customHeight="false" outlineLevel="0" collapsed="false">
      <c r="A8" s="17"/>
      <c r="B8" s="18"/>
      <c r="C8" s="19"/>
      <c r="D8" s="17"/>
      <c r="E8" s="17"/>
      <c r="F8" s="20" t="str">
        <f aca="true">IF(C8="","",DATEDIF(C8,TODAY(),"Y"))</f>
        <v/>
      </c>
    </row>
    <row r="9" customFormat="false" ht="15" hidden="false" customHeight="false" outlineLevel="0" collapsed="false">
      <c r="A9" s="17"/>
      <c r="B9" s="18"/>
      <c r="C9" s="19"/>
      <c r="D9" s="17"/>
      <c r="E9" s="17"/>
      <c r="F9" s="20" t="str">
        <f aca="true">IF(C9="","",DATEDIF(C9,TODAY(),"Y"))</f>
        <v/>
      </c>
    </row>
    <row r="10" customFormat="false" ht="15" hidden="false" customHeight="false" outlineLevel="0" collapsed="false">
      <c r="A10" s="17"/>
      <c r="B10" s="18"/>
      <c r="C10" s="19"/>
      <c r="D10" s="17"/>
      <c r="E10" s="17"/>
      <c r="F10" s="20" t="str">
        <f aca="true">IF(C10="","",DATEDIF(C10,TODAY(),"Y"))</f>
        <v/>
      </c>
    </row>
    <row r="11" customFormat="false" ht="15" hidden="false" customHeight="false" outlineLevel="0" collapsed="false">
      <c r="A11" s="17"/>
      <c r="B11" s="18"/>
      <c r="C11" s="19"/>
      <c r="D11" s="17"/>
      <c r="E11" s="17"/>
      <c r="F11" s="20" t="str">
        <f aca="true">IF(C11="","",DATEDIF(C11,TODAY(),"Y"))</f>
        <v/>
      </c>
    </row>
    <row r="12" customFormat="false" ht="15" hidden="false" customHeight="false" outlineLevel="0" collapsed="false">
      <c r="A12" s="17"/>
      <c r="B12" s="18"/>
      <c r="C12" s="19"/>
      <c r="D12" s="17"/>
      <c r="E12" s="17"/>
      <c r="F12" s="20" t="str">
        <f aca="true">IF(C12="","",DATEDIF(C12,TODAY(),"Y"))</f>
        <v/>
      </c>
    </row>
    <row r="13" customFormat="false" ht="15" hidden="false" customHeight="false" outlineLevel="0" collapsed="false">
      <c r="A13" s="17"/>
      <c r="B13" s="18"/>
      <c r="C13" s="19"/>
      <c r="D13" s="17"/>
      <c r="E13" s="17"/>
      <c r="F13" s="20" t="str">
        <f aca="true">IF(C13="","",DATEDIF(C13,TODAY(),"Y"))</f>
        <v/>
      </c>
    </row>
    <row r="14" customFormat="false" ht="15" hidden="false" customHeight="false" outlineLevel="0" collapsed="false">
      <c r="A14" s="17"/>
      <c r="B14" s="18"/>
      <c r="C14" s="19"/>
      <c r="D14" s="17"/>
      <c r="E14" s="17"/>
      <c r="F14" s="20" t="str">
        <f aca="true">IF(C14="","",DATEDIF(C14,TODAY(),"Y"))</f>
        <v/>
      </c>
    </row>
    <row r="15" customFormat="false" ht="15" hidden="false" customHeight="false" outlineLevel="0" collapsed="false">
      <c r="A15" s="17"/>
      <c r="B15" s="18"/>
      <c r="C15" s="19"/>
      <c r="D15" s="17"/>
      <c r="E15" s="17"/>
      <c r="F15" s="20" t="str">
        <f aca="true">IF(C15="","",DATEDIF(C15,TODAY(),"Y"))</f>
        <v/>
      </c>
    </row>
    <row r="16" customFormat="false" ht="15" hidden="false" customHeight="false" outlineLevel="0" collapsed="false">
      <c r="A16" s="17"/>
      <c r="B16" s="18"/>
      <c r="C16" s="19"/>
      <c r="D16" s="17"/>
      <c r="E16" s="17"/>
      <c r="F16" s="20" t="str">
        <f aca="true">IF(C16="","",DATEDIF(C16,TODAY(),"Y"))</f>
        <v/>
      </c>
    </row>
    <row r="17" customFormat="false" ht="15" hidden="false" customHeight="false" outlineLevel="0" collapsed="false">
      <c r="A17" s="17"/>
      <c r="B17" s="18"/>
      <c r="C17" s="19"/>
      <c r="D17" s="17"/>
      <c r="E17" s="17"/>
      <c r="F17" s="20" t="str">
        <f aca="true">IF(C17="","",DATEDIF(C17,TODAY(),"Y"))</f>
        <v/>
      </c>
    </row>
    <row r="18" customFormat="false" ht="15" hidden="false" customHeight="false" outlineLevel="0" collapsed="false">
      <c r="A18" s="17"/>
      <c r="B18" s="18"/>
      <c r="C18" s="19"/>
      <c r="D18" s="17"/>
      <c r="E18" s="17"/>
      <c r="F18" s="20" t="str">
        <f aca="true">IF(C18="","",DATEDIF(C18,TODAY(),"Y"))</f>
        <v/>
      </c>
    </row>
    <row r="19" customFormat="false" ht="15" hidden="false" customHeight="false" outlineLevel="0" collapsed="false">
      <c r="A19" s="17"/>
      <c r="B19" s="18"/>
      <c r="C19" s="19"/>
      <c r="D19" s="17"/>
      <c r="E19" s="17"/>
      <c r="F19" s="20" t="str">
        <f aca="true">IF(C19="","",DATEDIF(C19,TODAY(),"Y"))</f>
        <v/>
      </c>
    </row>
    <row r="20" customFormat="false" ht="15" hidden="false" customHeight="false" outlineLevel="0" collapsed="false">
      <c r="A20" s="17"/>
      <c r="B20" s="18"/>
      <c r="C20" s="19"/>
      <c r="D20" s="17"/>
      <c r="E20" s="17"/>
      <c r="F20" s="20" t="str">
        <f aca="true">IF(C20="","",DATEDIF(C20,TODAY(),"Y"))</f>
        <v/>
      </c>
    </row>
    <row r="21" customFormat="false" ht="15" hidden="false" customHeight="false" outlineLevel="0" collapsed="false">
      <c r="A21" s="17"/>
      <c r="B21" s="18"/>
      <c r="C21" s="19"/>
      <c r="D21" s="17"/>
      <c r="E21" s="17"/>
      <c r="F21" s="20" t="str">
        <f aca="true">IF(C21="","",DATEDIF(C21,TODAY(),"Y"))</f>
        <v/>
      </c>
    </row>
    <row r="22" customFormat="false" ht="15" hidden="false" customHeight="false" outlineLevel="0" collapsed="false">
      <c r="A22" s="17"/>
      <c r="B22" s="18"/>
      <c r="C22" s="19"/>
      <c r="D22" s="17"/>
      <c r="E22" s="17"/>
      <c r="F22" s="20" t="str">
        <f aca="true">IF(C22="","",DATEDIF(C22,TODAY(),"Y"))</f>
        <v/>
      </c>
    </row>
    <row r="23" customFormat="false" ht="15" hidden="false" customHeight="false" outlineLevel="0" collapsed="false">
      <c r="A23" s="17"/>
      <c r="B23" s="18"/>
      <c r="C23" s="19"/>
      <c r="D23" s="17"/>
      <c r="E23" s="17"/>
      <c r="F23" s="20" t="str">
        <f aca="true">IF(C23="","",DATEDIF(C23,TODAY(),"Y"))</f>
        <v/>
      </c>
    </row>
    <row r="24" customFormat="false" ht="15" hidden="false" customHeight="false" outlineLevel="0" collapsed="false">
      <c r="A24" s="17"/>
      <c r="B24" s="18"/>
      <c r="C24" s="19"/>
      <c r="D24" s="17"/>
      <c r="E24" s="17"/>
      <c r="F24" s="20" t="str">
        <f aca="true">IF(C24="","",DATEDIF(C24,TODAY(),"Y"))</f>
        <v/>
      </c>
    </row>
    <row r="25" customFormat="false" ht="15" hidden="false" customHeight="false" outlineLevel="0" collapsed="false">
      <c r="A25" s="17"/>
      <c r="B25" s="18"/>
      <c r="C25" s="19"/>
      <c r="D25" s="17"/>
      <c r="E25" s="17"/>
      <c r="F25" s="20" t="str">
        <f aca="true">IF(C25="","",DATEDIF(C25,TODAY(),"Y"))</f>
        <v/>
      </c>
    </row>
    <row r="26" customFormat="false" ht="15" hidden="false" customHeight="false" outlineLevel="0" collapsed="false">
      <c r="A26" s="17"/>
      <c r="B26" s="18"/>
      <c r="C26" s="19"/>
      <c r="D26" s="17"/>
      <c r="E26" s="17"/>
      <c r="F26" s="20" t="str">
        <f aca="true">IF(C26="","",DATEDIF(C26,TODAY(),"Y"))</f>
        <v/>
      </c>
    </row>
    <row r="27" customFormat="false" ht="15" hidden="false" customHeight="false" outlineLevel="0" collapsed="false">
      <c r="A27" s="17"/>
      <c r="B27" s="18"/>
      <c r="C27" s="19"/>
      <c r="D27" s="17"/>
      <c r="E27" s="17"/>
      <c r="F27" s="20" t="str">
        <f aca="true">IF(C27="","",DATEDIF(C27,TODAY(),"Y"))</f>
        <v/>
      </c>
    </row>
    <row r="28" customFormat="false" ht="15" hidden="false" customHeight="false" outlineLevel="0" collapsed="false">
      <c r="A28" s="17"/>
      <c r="B28" s="18"/>
      <c r="C28" s="19"/>
      <c r="D28" s="17"/>
      <c r="E28" s="17"/>
      <c r="F28" s="20" t="str">
        <f aca="true">IF(C28="","",DATEDIF(C28,TODAY(),"Y"))</f>
        <v/>
      </c>
    </row>
    <row r="29" customFormat="false" ht="15" hidden="false" customHeight="false" outlineLevel="0" collapsed="false">
      <c r="A29" s="17"/>
      <c r="B29" s="18"/>
      <c r="C29" s="19"/>
      <c r="D29" s="17"/>
      <c r="E29" s="17"/>
      <c r="F29" s="20" t="str">
        <f aca="true">IF(C29="","",DATEDIF(C29,TODAY(),"Y"))</f>
        <v/>
      </c>
    </row>
    <row r="30" customFormat="false" ht="15" hidden="false" customHeight="false" outlineLevel="0" collapsed="false">
      <c r="A30" s="17"/>
      <c r="B30" s="18"/>
      <c r="C30" s="19"/>
      <c r="D30" s="17"/>
      <c r="E30" s="17"/>
      <c r="F30" s="20" t="str">
        <f aca="true">IF(C30="","",DATEDIF(C30,TODAY(),"Y"))</f>
        <v/>
      </c>
    </row>
    <row r="31" customFormat="false" ht="15" hidden="false" customHeight="false" outlineLevel="0" collapsed="false">
      <c r="A31" s="17"/>
      <c r="B31" s="18"/>
      <c r="C31" s="19"/>
      <c r="D31" s="17"/>
      <c r="E31" s="17"/>
      <c r="F31" s="20" t="str">
        <f aca="true">IF(C31="","",DATEDIF(C31,TODAY(),"Y"))</f>
        <v/>
      </c>
    </row>
    <row r="32" customFormat="false" ht="15" hidden="false" customHeight="false" outlineLevel="0" collapsed="false">
      <c r="A32" s="17"/>
      <c r="B32" s="18"/>
      <c r="C32" s="19"/>
      <c r="D32" s="17"/>
      <c r="E32" s="17"/>
      <c r="F32" s="20" t="str">
        <f aca="true">IF(C32="","",DATEDIF(C32,TODAY(),"Y"))</f>
        <v/>
      </c>
    </row>
    <row r="33" customFormat="false" ht="15" hidden="false" customHeight="false" outlineLevel="0" collapsed="false">
      <c r="A33" s="17"/>
      <c r="B33" s="18"/>
      <c r="C33" s="19"/>
      <c r="D33" s="17"/>
      <c r="E33" s="17"/>
      <c r="F33" s="20" t="str">
        <f aca="true">IF(C33="","",DATEDIF(C33,TODAY(),"Y"))</f>
        <v/>
      </c>
    </row>
    <row r="34" customFormat="false" ht="15" hidden="false" customHeight="false" outlineLevel="0" collapsed="false">
      <c r="A34" s="17"/>
      <c r="B34" s="18"/>
      <c r="C34" s="19"/>
      <c r="D34" s="17"/>
      <c r="E34" s="17"/>
      <c r="F34" s="20" t="str">
        <f aca="true">IF(C34="","",DATEDIF(C34,TODAY(),"Y"))</f>
        <v/>
      </c>
    </row>
    <row r="35" customFormat="false" ht="15" hidden="false" customHeight="false" outlineLevel="0" collapsed="false">
      <c r="A35" s="17"/>
      <c r="B35" s="18"/>
      <c r="C35" s="19"/>
      <c r="D35" s="17"/>
      <c r="E35" s="17"/>
      <c r="F35" s="20" t="str">
        <f aca="true">IF(C35="","",DATEDIF(C35,TODAY(),"Y"))</f>
        <v/>
      </c>
    </row>
  </sheetData>
  <dataValidations count="4">
    <dataValidation allowBlank="true" error="Informe 11 dígitos (CPF) ou 14 dígitos (CNPJ). Pontos, traço e barra são aceitos." errorStyle="stop" errorTitle="CPF/CNPJ inválido" operator="between" showDropDown="false" showErrorMessage="true" showInputMessage="false" sqref="B6:B35" type="custom">
      <formula1>AND(ISNUMBER(--SUBSTITUTE(SUBSTITUTE(SUBSTITUTE(B6,".",""),"-",""),"/","")),OR(LEN(SUBSTITUTE(SUBSTITUTE(SUBSTITUTE(B6,".",""),"-",""),"/",""))=11,LEN(SUBSTITUTE(SUBSTITUTE(SUBSTITUTE(B6,".",""),"-",""),"/",""))=14))</formula1>
      <formula2>0</formula2>
    </dataValidation>
    <dataValidation allowBlank="true" error="Informe uma data válida (dd/mm/aaaa)." errorStyle="stop" errorTitle="Data inválida" operator="greaterThan" showDropDown="false" showErrorMessage="true" showInputMessage="false" sqref="C6:C35" type="date">
      <formula1>36526</formula1>
      <formula2>0</formula2>
    </dataValidation>
    <dataValidation allowBlank="true" error="Escolha uma opção da lista." errorStyle="stop" errorTitle="Opção inválida" operator="between" showDropDown="false" showErrorMessage="true" showInputMessage="false" sqref="D6:D35" type="list">
      <formula1>Listas!$H$2:$H$8</formula1>
      <formula2>0</formula2>
    </dataValidation>
    <dataValidation allowBlank="true" error="Escolha uma opção da lista." errorStyle="stop" errorTitle="Opção inválida" operator="between" showDropDown="false" showErrorMessage="true" showInputMessage="false" sqref="E6:E35" type="list">
      <formula1>Listas!$J$2:$J$3</formula1>
      <formula2>0</formula2>
    </dataValidation>
  </dataValidations>
  <hyperlinks>
    <hyperlink ref="A3" location="'Menu'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0"/>
  </cols>
  <sheetData>
    <row r="1" customFormat="false" ht="25.5" hidden="false" customHeight="true" outlineLevel="0" collapsed="false">
      <c r="A1" s="7" t="s">
        <v>51</v>
      </c>
    </row>
    <row r="2" customFormat="false" ht="15" hidden="false" customHeight="false" outlineLevel="0" collapsed="false">
      <c r="A2" s="2" t="s">
        <v>52</v>
      </c>
    </row>
    <row r="3" customFormat="false" ht="15" hidden="false" customHeight="false" outlineLevel="0" collapsed="false">
      <c r="A3" s="8" t="s">
        <v>28</v>
      </c>
    </row>
    <row r="4" customFormat="false" ht="31.5" hidden="false" customHeight="true" outlineLevel="0" collapsed="false">
      <c r="A4" s="13" t="s">
        <v>53</v>
      </c>
      <c r="B4" s="13" t="s">
        <v>54</v>
      </c>
      <c r="C4" s="13" t="s">
        <v>55</v>
      </c>
      <c r="D4" s="13" t="s">
        <v>56</v>
      </c>
      <c r="E4" s="13" t="s">
        <v>57</v>
      </c>
      <c r="F4" s="13" t="s">
        <v>58</v>
      </c>
      <c r="G4" s="13" t="s">
        <v>59</v>
      </c>
      <c r="H4" s="13" t="s">
        <v>60</v>
      </c>
      <c r="I4" s="13" t="s">
        <v>61</v>
      </c>
      <c r="J4" s="13" t="s">
        <v>62</v>
      </c>
    </row>
    <row r="5" customFormat="false" ht="15" hidden="false" customHeight="false" outlineLevel="0" collapsed="false">
      <c r="A5" s="16" t="n">
        <v>45996</v>
      </c>
      <c r="B5" s="14" t="s">
        <v>63</v>
      </c>
      <c r="C5" s="14" t="s">
        <v>64</v>
      </c>
      <c r="D5" s="15" t="s">
        <v>65</v>
      </c>
      <c r="E5" s="14" t="s">
        <v>66</v>
      </c>
      <c r="F5" s="21" t="n">
        <v>5000</v>
      </c>
      <c r="G5" s="21" t="n">
        <v>450</v>
      </c>
      <c r="H5" s="21" t="n">
        <v>550</v>
      </c>
      <c r="I5" s="14" t="s">
        <v>67</v>
      </c>
      <c r="J5" s="14" t="s">
        <v>68</v>
      </c>
    </row>
    <row r="6" customFormat="false" ht="15" hidden="false" customHeight="false" outlineLevel="0" collapsed="false">
      <c r="A6" s="19"/>
      <c r="B6" s="17"/>
      <c r="C6" s="17"/>
      <c r="D6" s="18"/>
      <c r="E6" s="17"/>
      <c r="F6" s="22"/>
      <c r="G6" s="22"/>
      <c r="H6" s="22"/>
      <c r="I6" s="17"/>
      <c r="J6" s="20" t="str">
        <f aca="false">IF(B6="","",IFERROR(INDEX(Listas!$B$2:$B$40,MATCH(B6,Listas!$A$2:$A$40,0)),""))</f>
        <v/>
      </c>
    </row>
    <row r="7" customFormat="false" ht="15" hidden="false" customHeight="false" outlineLevel="0" collapsed="false">
      <c r="A7" s="19"/>
      <c r="B7" s="17"/>
      <c r="C7" s="17"/>
      <c r="D7" s="18"/>
      <c r="E7" s="17"/>
      <c r="F7" s="22"/>
      <c r="G7" s="22"/>
      <c r="H7" s="22"/>
      <c r="I7" s="17"/>
      <c r="J7" s="20" t="str">
        <f aca="false">IF(B7="","",IFERROR(INDEX(Listas!$B$2:$B$40,MATCH(B7,Listas!$A$2:$A$40,0)),""))</f>
        <v/>
      </c>
    </row>
    <row r="8" customFormat="false" ht="15" hidden="false" customHeight="false" outlineLevel="0" collapsed="false">
      <c r="A8" s="19"/>
      <c r="B8" s="17"/>
      <c r="C8" s="17"/>
      <c r="D8" s="18"/>
      <c r="E8" s="17"/>
      <c r="F8" s="22"/>
      <c r="G8" s="22"/>
      <c r="H8" s="22"/>
      <c r="I8" s="17"/>
      <c r="J8" s="20" t="str">
        <f aca="false">IF(B8="","",IFERROR(INDEX(Listas!$B$2:$B$40,MATCH(B8,Listas!$A$2:$A$40,0)),""))</f>
        <v/>
      </c>
    </row>
    <row r="9" customFormat="false" ht="15" hidden="false" customHeight="false" outlineLevel="0" collapsed="false">
      <c r="A9" s="19"/>
      <c r="B9" s="17"/>
      <c r="C9" s="17"/>
      <c r="D9" s="18"/>
      <c r="E9" s="17"/>
      <c r="F9" s="22"/>
      <c r="G9" s="22"/>
      <c r="H9" s="22"/>
      <c r="I9" s="17"/>
      <c r="J9" s="20" t="str">
        <f aca="false">IF(B9="","",IFERROR(INDEX(Listas!$B$2:$B$40,MATCH(B9,Listas!$A$2:$A$40,0)),""))</f>
        <v/>
      </c>
    </row>
    <row r="10" customFormat="false" ht="15" hidden="false" customHeight="false" outlineLevel="0" collapsed="false">
      <c r="A10" s="19"/>
      <c r="B10" s="17"/>
      <c r="C10" s="17"/>
      <c r="D10" s="18"/>
      <c r="E10" s="17"/>
      <c r="F10" s="22"/>
      <c r="G10" s="22"/>
      <c r="H10" s="22"/>
      <c r="I10" s="17"/>
      <c r="J10" s="20" t="str">
        <f aca="false">IF(B10="","",IFERROR(INDEX(Listas!$B$2:$B$40,MATCH(B10,Listas!$A$2:$A$40,0)),""))</f>
        <v/>
      </c>
    </row>
    <row r="11" customFormat="false" ht="15" hidden="false" customHeight="false" outlineLevel="0" collapsed="false">
      <c r="A11" s="19"/>
      <c r="B11" s="17"/>
      <c r="C11" s="17"/>
      <c r="D11" s="18"/>
      <c r="E11" s="17"/>
      <c r="F11" s="22"/>
      <c r="G11" s="22"/>
      <c r="H11" s="22"/>
      <c r="I11" s="17"/>
      <c r="J11" s="20" t="str">
        <f aca="false">IF(B11="","",IFERROR(INDEX(Listas!$B$2:$B$40,MATCH(B11,Listas!$A$2:$A$40,0)),""))</f>
        <v/>
      </c>
    </row>
    <row r="12" customFormat="false" ht="15" hidden="false" customHeight="false" outlineLevel="0" collapsed="false">
      <c r="A12" s="19"/>
      <c r="B12" s="17"/>
      <c r="C12" s="17"/>
      <c r="D12" s="18"/>
      <c r="E12" s="17"/>
      <c r="F12" s="22"/>
      <c r="G12" s="22"/>
      <c r="H12" s="22"/>
      <c r="I12" s="17"/>
      <c r="J12" s="20" t="str">
        <f aca="false">IF(B12="","",IFERROR(INDEX(Listas!$B$2:$B$40,MATCH(B12,Listas!$A$2:$A$40,0)),""))</f>
        <v/>
      </c>
    </row>
    <row r="13" customFormat="false" ht="15" hidden="false" customHeight="false" outlineLevel="0" collapsed="false">
      <c r="A13" s="19"/>
      <c r="B13" s="17"/>
      <c r="C13" s="17"/>
      <c r="D13" s="18"/>
      <c r="E13" s="17"/>
      <c r="F13" s="22"/>
      <c r="G13" s="22"/>
      <c r="H13" s="22"/>
      <c r="I13" s="17"/>
      <c r="J13" s="20" t="str">
        <f aca="false">IF(B13="","",IFERROR(INDEX(Listas!$B$2:$B$40,MATCH(B13,Listas!$A$2:$A$40,0)),""))</f>
        <v/>
      </c>
    </row>
    <row r="14" customFormat="false" ht="15" hidden="false" customHeight="false" outlineLevel="0" collapsed="false">
      <c r="A14" s="19"/>
      <c r="B14" s="17"/>
      <c r="C14" s="17"/>
      <c r="D14" s="18"/>
      <c r="E14" s="17"/>
      <c r="F14" s="22"/>
      <c r="G14" s="22"/>
      <c r="H14" s="22"/>
      <c r="I14" s="17"/>
      <c r="J14" s="20" t="str">
        <f aca="false">IF(B14="","",IFERROR(INDEX(Listas!$B$2:$B$40,MATCH(B14,Listas!$A$2:$A$40,0)),""))</f>
        <v/>
      </c>
    </row>
    <row r="15" customFormat="false" ht="15" hidden="false" customHeight="false" outlineLevel="0" collapsed="false">
      <c r="A15" s="19"/>
      <c r="B15" s="17"/>
      <c r="C15" s="17"/>
      <c r="D15" s="18"/>
      <c r="E15" s="17"/>
      <c r="F15" s="22"/>
      <c r="G15" s="22"/>
      <c r="H15" s="22"/>
      <c r="I15" s="17"/>
      <c r="J15" s="20" t="str">
        <f aca="false">IF(B15="","",IFERROR(INDEX(Listas!$B$2:$B$40,MATCH(B15,Listas!$A$2:$A$40,0)),""))</f>
        <v/>
      </c>
    </row>
    <row r="16" customFormat="false" ht="15" hidden="false" customHeight="false" outlineLevel="0" collapsed="false">
      <c r="A16" s="19"/>
      <c r="B16" s="17"/>
      <c r="C16" s="17"/>
      <c r="D16" s="18"/>
      <c r="E16" s="17"/>
      <c r="F16" s="22"/>
      <c r="G16" s="22"/>
      <c r="H16" s="22"/>
      <c r="I16" s="17"/>
      <c r="J16" s="20" t="str">
        <f aca="false">IF(B16="","",IFERROR(INDEX(Listas!$B$2:$B$40,MATCH(B16,Listas!$A$2:$A$40,0)),""))</f>
        <v/>
      </c>
    </row>
    <row r="17" customFormat="false" ht="15" hidden="false" customHeight="false" outlineLevel="0" collapsed="false">
      <c r="A17" s="19"/>
      <c r="B17" s="17"/>
      <c r="C17" s="17"/>
      <c r="D17" s="18"/>
      <c r="E17" s="17"/>
      <c r="F17" s="22"/>
      <c r="G17" s="22"/>
      <c r="H17" s="22"/>
      <c r="I17" s="17"/>
      <c r="J17" s="20" t="str">
        <f aca="false">IF(B17="","",IFERROR(INDEX(Listas!$B$2:$B$40,MATCH(B17,Listas!$A$2:$A$40,0)),""))</f>
        <v/>
      </c>
    </row>
    <row r="18" customFormat="false" ht="15" hidden="false" customHeight="false" outlineLevel="0" collapsed="false">
      <c r="A18" s="19"/>
      <c r="B18" s="17"/>
      <c r="C18" s="17"/>
      <c r="D18" s="18"/>
      <c r="E18" s="17"/>
      <c r="F18" s="22"/>
      <c r="G18" s="22"/>
      <c r="H18" s="22"/>
      <c r="I18" s="17"/>
      <c r="J18" s="20" t="str">
        <f aca="false">IF(B18="","",IFERROR(INDEX(Listas!$B$2:$B$40,MATCH(B18,Listas!$A$2:$A$40,0)),""))</f>
        <v/>
      </c>
    </row>
    <row r="19" customFormat="false" ht="15" hidden="false" customHeight="false" outlineLevel="0" collapsed="false">
      <c r="A19" s="19"/>
      <c r="B19" s="17"/>
      <c r="C19" s="17"/>
      <c r="D19" s="18"/>
      <c r="E19" s="17"/>
      <c r="F19" s="22"/>
      <c r="G19" s="22"/>
      <c r="H19" s="22"/>
      <c r="I19" s="17"/>
      <c r="J19" s="20" t="str">
        <f aca="false">IF(B19="","",IFERROR(INDEX(Listas!$B$2:$B$40,MATCH(B19,Listas!$A$2:$A$40,0)),""))</f>
        <v/>
      </c>
    </row>
    <row r="20" customFormat="false" ht="15" hidden="false" customHeight="false" outlineLevel="0" collapsed="false">
      <c r="A20" s="19"/>
      <c r="B20" s="17"/>
      <c r="C20" s="17"/>
      <c r="D20" s="18"/>
      <c r="E20" s="17"/>
      <c r="F20" s="22"/>
      <c r="G20" s="22"/>
      <c r="H20" s="22"/>
      <c r="I20" s="17"/>
      <c r="J20" s="20" t="str">
        <f aca="false">IF(B20="","",IFERROR(INDEX(Listas!$B$2:$B$40,MATCH(B20,Listas!$A$2:$A$40,0)),""))</f>
        <v/>
      </c>
    </row>
    <row r="21" customFormat="false" ht="15" hidden="false" customHeight="false" outlineLevel="0" collapsed="false">
      <c r="A21" s="19"/>
      <c r="B21" s="17"/>
      <c r="C21" s="17"/>
      <c r="D21" s="18"/>
      <c r="E21" s="17"/>
      <c r="F21" s="22"/>
      <c r="G21" s="22"/>
      <c r="H21" s="22"/>
      <c r="I21" s="17"/>
      <c r="J21" s="20" t="str">
        <f aca="false">IF(B21="","",IFERROR(INDEX(Listas!$B$2:$B$40,MATCH(B21,Listas!$A$2:$A$40,0)),""))</f>
        <v/>
      </c>
    </row>
    <row r="22" customFormat="false" ht="15" hidden="false" customHeight="false" outlineLevel="0" collapsed="false">
      <c r="A22" s="19"/>
      <c r="B22" s="17"/>
      <c r="C22" s="17"/>
      <c r="D22" s="18"/>
      <c r="E22" s="17"/>
      <c r="F22" s="22"/>
      <c r="G22" s="22"/>
      <c r="H22" s="22"/>
      <c r="I22" s="17"/>
      <c r="J22" s="20" t="str">
        <f aca="false">IF(B22="","",IFERROR(INDEX(Listas!$B$2:$B$40,MATCH(B22,Listas!$A$2:$A$40,0)),""))</f>
        <v/>
      </c>
    </row>
    <row r="23" customFormat="false" ht="15" hidden="false" customHeight="false" outlineLevel="0" collapsed="false">
      <c r="A23" s="19"/>
      <c r="B23" s="17"/>
      <c r="C23" s="17"/>
      <c r="D23" s="18"/>
      <c r="E23" s="17"/>
      <c r="F23" s="22"/>
      <c r="G23" s="22"/>
      <c r="H23" s="22"/>
      <c r="I23" s="17"/>
      <c r="J23" s="20" t="str">
        <f aca="false">IF(B23="","",IFERROR(INDEX(Listas!$B$2:$B$40,MATCH(B23,Listas!$A$2:$A$40,0)),""))</f>
        <v/>
      </c>
    </row>
    <row r="24" customFormat="false" ht="15" hidden="false" customHeight="false" outlineLevel="0" collapsed="false">
      <c r="A24" s="19"/>
      <c r="B24" s="17"/>
      <c r="C24" s="17"/>
      <c r="D24" s="18"/>
      <c r="E24" s="17"/>
      <c r="F24" s="22"/>
      <c r="G24" s="22"/>
      <c r="H24" s="22"/>
      <c r="I24" s="17"/>
      <c r="J24" s="20" t="str">
        <f aca="false">IF(B24="","",IFERROR(INDEX(Listas!$B$2:$B$40,MATCH(B24,Listas!$A$2:$A$40,0)),""))</f>
        <v/>
      </c>
    </row>
    <row r="25" customFormat="false" ht="15" hidden="false" customHeight="false" outlineLevel="0" collapsed="false">
      <c r="A25" s="19"/>
      <c r="B25" s="17"/>
      <c r="C25" s="17"/>
      <c r="D25" s="18"/>
      <c r="E25" s="17"/>
      <c r="F25" s="22"/>
      <c r="G25" s="22"/>
      <c r="H25" s="22"/>
      <c r="I25" s="17"/>
      <c r="J25" s="20" t="str">
        <f aca="false">IF(B25="","",IFERROR(INDEX(Listas!$B$2:$B$40,MATCH(B25,Listas!$A$2:$A$40,0)),""))</f>
        <v/>
      </c>
    </row>
    <row r="26" customFormat="false" ht="15" hidden="false" customHeight="false" outlineLevel="0" collapsed="false">
      <c r="A26" s="19"/>
      <c r="B26" s="17"/>
      <c r="C26" s="17"/>
      <c r="D26" s="18"/>
      <c r="E26" s="17"/>
      <c r="F26" s="22"/>
      <c r="G26" s="22"/>
      <c r="H26" s="22"/>
      <c r="I26" s="17"/>
      <c r="J26" s="20" t="str">
        <f aca="false">IF(B26="","",IFERROR(INDEX(Listas!$B$2:$B$40,MATCH(B26,Listas!$A$2:$A$40,0)),""))</f>
        <v/>
      </c>
    </row>
    <row r="27" customFormat="false" ht="15" hidden="false" customHeight="false" outlineLevel="0" collapsed="false">
      <c r="A27" s="19"/>
      <c r="B27" s="17"/>
      <c r="C27" s="17"/>
      <c r="D27" s="18"/>
      <c r="E27" s="17"/>
      <c r="F27" s="22"/>
      <c r="G27" s="22"/>
      <c r="H27" s="22"/>
      <c r="I27" s="17"/>
      <c r="J27" s="20" t="str">
        <f aca="false">IF(B27="","",IFERROR(INDEX(Listas!$B$2:$B$40,MATCH(B27,Listas!$A$2:$A$40,0)),""))</f>
        <v/>
      </c>
    </row>
    <row r="28" customFormat="false" ht="15" hidden="false" customHeight="false" outlineLevel="0" collapsed="false">
      <c r="A28" s="19"/>
      <c r="B28" s="17"/>
      <c r="C28" s="17"/>
      <c r="D28" s="18"/>
      <c r="E28" s="17"/>
      <c r="F28" s="22"/>
      <c r="G28" s="22"/>
      <c r="H28" s="22"/>
      <c r="I28" s="17"/>
      <c r="J28" s="20" t="str">
        <f aca="false">IF(B28="","",IFERROR(INDEX(Listas!$B$2:$B$40,MATCH(B28,Listas!$A$2:$A$40,0)),""))</f>
        <v/>
      </c>
    </row>
    <row r="29" customFormat="false" ht="15" hidden="false" customHeight="false" outlineLevel="0" collapsed="false">
      <c r="A29" s="19"/>
      <c r="B29" s="17"/>
      <c r="C29" s="17"/>
      <c r="D29" s="18"/>
      <c r="E29" s="17"/>
      <c r="F29" s="22"/>
      <c r="G29" s="22"/>
      <c r="H29" s="22"/>
      <c r="I29" s="17"/>
      <c r="J29" s="20" t="str">
        <f aca="false">IF(B29="","",IFERROR(INDEX(Listas!$B$2:$B$40,MATCH(B29,Listas!$A$2:$A$40,0)),""))</f>
        <v/>
      </c>
    </row>
    <row r="30" customFormat="false" ht="15" hidden="false" customHeight="false" outlineLevel="0" collapsed="false">
      <c r="A30" s="19"/>
      <c r="B30" s="17"/>
      <c r="C30" s="17"/>
      <c r="D30" s="18"/>
      <c r="E30" s="17"/>
      <c r="F30" s="22"/>
      <c r="G30" s="22"/>
      <c r="H30" s="22"/>
      <c r="I30" s="17"/>
      <c r="J30" s="20" t="str">
        <f aca="false">IF(B30="","",IFERROR(INDEX(Listas!$B$2:$B$40,MATCH(B30,Listas!$A$2:$A$40,0)),""))</f>
        <v/>
      </c>
    </row>
    <row r="31" customFormat="false" ht="15" hidden="false" customHeight="false" outlineLevel="0" collapsed="false">
      <c r="A31" s="19"/>
      <c r="B31" s="17"/>
      <c r="C31" s="17"/>
      <c r="D31" s="18"/>
      <c r="E31" s="17"/>
      <c r="F31" s="22"/>
      <c r="G31" s="22"/>
      <c r="H31" s="22"/>
      <c r="I31" s="17"/>
      <c r="J31" s="20" t="str">
        <f aca="false">IF(B31="","",IFERROR(INDEX(Listas!$B$2:$B$40,MATCH(B31,Listas!$A$2:$A$40,0)),""))</f>
        <v/>
      </c>
    </row>
    <row r="32" customFormat="false" ht="15" hidden="false" customHeight="false" outlineLevel="0" collapsed="false">
      <c r="A32" s="19"/>
      <c r="B32" s="17"/>
      <c r="C32" s="17"/>
      <c r="D32" s="18"/>
      <c r="E32" s="17"/>
      <c r="F32" s="22"/>
      <c r="G32" s="22"/>
      <c r="H32" s="22"/>
      <c r="I32" s="17"/>
      <c r="J32" s="20" t="str">
        <f aca="false">IF(B32="","",IFERROR(INDEX(Listas!$B$2:$B$40,MATCH(B32,Listas!$A$2:$A$40,0)),""))</f>
        <v/>
      </c>
    </row>
    <row r="33" customFormat="false" ht="15" hidden="false" customHeight="false" outlineLevel="0" collapsed="false">
      <c r="A33" s="19"/>
      <c r="B33" s="17"/>
      <c r="C33" s="17"/>
      <c r="D33" s="18"/>
      <c r="E33" s="17"/>
      <c r="F33" s="22"/>
      <c r="G33" s="22"/>
      <c r="H33" s="22"/>
      <c r="I33" s="17"/>
      <c r="J33" s="20" t="str">
        <f aca="false">IF(B33="","",IFERROR(INDEX(Listas!$B$2:$B$40,MATCH(B33,Listas!$A$2:$A$40,0)),""))</f>
        <v/>
      </c>
    </row>
    <row r="34" customFormat="false" ht="15" hidden="false" customHeight="false" outlineLevel="0" collapsed="false">
      <c r="A34" s="19"/>
      <c r="B34" s="17"/>
      <c r="C34" s="17"/>
      <c r="D34" s="18"/>
      <c r="E34" s="17"/>
      <c r="F34" s="22"/>
      <c r="G34" s="22"/>
      <c r="H34" s="22"/>
      <c r="I34" s="17"/>
      <c r="J34" s="20" t="str">
        <f aca="false">IF(B34="","",IFERROR(INDEX(Listas!$B$2:$B$40,MATCH(B34,Listas!$A$2:$A$40,0)),""))</f>
        <v/>
      </c>
    </row>
    <row r="35" customFormat="false" ht="15" hidden="false" customHeight="false" outlineLevel="0" collapsed="false">
      <c r="A35" s="19"/>
      <c r="B35" s="17"/>
      <c r="C35" s="17"/>
      <c r="D35" s="18"/>
      <c r="E35" s="17"/>
      <c r="F35" s="22"/>
      <c r="G35" s="22"/>
      <c r="H35" s="22"/>
      <c r="I35" s="17"/>
      <c r="J35" s="20" t="str">
        <f aca="false">IF(B35="","",IFERROR(INDEX(Listas!$B$2:$B$40,MATCH(B35,Listas!$A$2:$A$40,0)),""))</f>
        <v/>
      </c>
    </row>
    <row r="36" customFormat="false" ht="15" hidden="false" customHeight="false" outlineLevel="0" collapsed="false">
      <c r="A36" s="19"/>
      <c r="B36" s="17"/>
      <c r="C36" s="17"/>
      <c r="D36" s="18"/>
      <c r="E36" s="17"/>
      <c r="F36" s="22"/>
      <c r="G36" s="22"/>
      <c r="H36" s="22"/>
      <c r="I36" s="17"/>
      <c r="J36" s="20" t="str">
        <f aca="false">IF(B36="","",IFERROR(INDEX(Listas!$B$2:$B$40,MATCH(B36,Listas!$A$2:$A$40,0)),""))</f>
        <v/>
      </c>
    </row>
    <row r="37" customFormat="false" ht="15" hidden="false" customHeight="false" outlineLevel="0" collapsed="false">
      <c r="A37" s="19"/>
      <c r="B37" s="17"/>
      <c r="C37" s="17"/>
      <c r="D37" s="18"/>
      <c r="E37" s="17"/>
      <c r="F37" s="22"/>
      <c r="G37" s="22"/>
      <c r="H37" s="22"/>
      <c r="I37" s="17"/>
      <c r="J37" s="20" t="str">
        <f aca="false">IF(B37="","",IFERROR(INDEX(Listas!$B$2:$B$40,MATCH(B37,Listas!$A$2:$A$40,0)),""))</f>
        <v/>
      </c>
    </row>
    <row r="38" customFormat="false" ht="15" hidden="false" customHeight="false" outlineLevel="0" collapsed="false">
      <c r="A38" s="19"/>
      <c r="B38" s="17"/>
      <c r="C38" s="17"/>
      <c r="D38" s="18"/>
      <c r="E38" s="17"/>
      <c r="F38" s="22"/>
      <c r="G38" s="22"/>
      <c r="H38" s="22"/>
      <c r="I38" s="17"/>
      <c r="J38" s="20" t="str">
        <f aca="false">IF(B38="","",IFERROR(INDEX(Listas!$B$2:$B$40,MATCH(B38,Listas!$A$2:$A$40,0)),""))</f>
        <v/>
      </c>
    </row>
    <row r="39" customFormat="false" ht="15" hidden="false" customHeight="false" outlineLevel="0" collapsed="false">
      <c r="A39" s="19"/>
      <c r="B39" s="17"/>
      <c r="C39" s="17"/>
      <c r="D39" s="18"/>
      <c r="E39" s="17"/>
      <c r="F39" s="22"/>
      <c r="G39" s="22"/>
      <c r="H39" s="22"/>
      <c r="I39" s="17"/>
      <c r="J39" s="20" t="str">
        <f aca="false">IF(B39="","",IFERROR(INDEX(Listas!$B$2:$B$40,MATCH(B39,Listas!$A$2:$A$40,0)),""))</f>
        <v/>
      </c>
    </row>
    <row r="40" customFormat="false" ht="15" hidden="false" customHeight="false" outlineLevel="0" collapsed="false">
      <c r="A40" s="19"/>
      <c r="B40" s="17"/>
      <c r="C40" s="17"/>
      <c r="D40" s="18"/>
      <c r="E40" s="17"/>
      <c r="F40" s="22"/>
      <c r="G40" s="22"/>
      <c r="H40" s="22"/>
      <c r="I40" s="17"/>
      <c r="J40" s="20" t="str">
        <f aca="false">IF(B40="","",IFERROR(INDEX(Listas!$B$2:$B$40,MATCH(B40,Listas!$A$2:$A$40,0)),""))</f>
        <v/>
      </c>
    </row>
    <row r="41" customFormat="false" ht="15" hidden="false" customHeight="false" outlineLevel="0" collapsed="false">
      <c r="A41" s="19"/>
      <c r="B41" s="17"/>
      <c r="C41" s="17"/>
      <c r="D41" s="18"/>
      <c r="E41" s="17"/>
      <c r="F41" s="22"/>
      <c r="G41" s="22"/>
      <c r="H41" s="22"/>
      <c r="I41" s="17"/>
      <c r="J41" s="20" t="str">
        <f aca="false">IF(B41="","",IFERROR(INDEX(Listas!$B$2:$B$40,MATCH(B41,Listas!$A$2:$A$40,0)),""))</f>
        <v/>
      </c>
    </row>
    <row r="42" customFormat="false" ht="15" hidden="false" customHeight="false" outlineLevel="0" collapsed="false">
      <c r="A42" s="19"/>
      <c r="B42" s="17"/>
      <c r="C42" s="17"/>
      <c r="D42" s="18"/>
      <c r="E42" s="17"/>
      <c r="F42" s="22"/>
      <c r="G42" s="22"/>
      <c r="H42" s="22"/>
      <c r="I42" s="17"/>
      <c r="J42" s="20" t="str">
        <f aca="false">IF(B42="","",IFERROR(INDEX(Listas!$B$2:$B$40,MATCH(B42,Listas!$A$2:$A$40,0)),""))</f>
        <v/>
      </c>
    </row>
    <row r="43" customFormat="false" ht="15" hidden="false" customHeight="false" outlineLevel="0" collapsed="false">
      <c r="A43" s="19"/>
      <c r="B43" s="17"/>
      <c r="C43" s="17"/>
      <c r="D43" s="18"/>
      <c r="E43" s="17"/>
      <c r="F43" s="22"/>
      <c r="G43" s="22"/>
      <c r="H43" s="22"/>
      <c r="I43" s="17"/>
      <c r="J43" s="20" t="str">
        <f aca="false">IF(B43="","",IFERROR(INDEX(Listas!$B$2:$B$40,MATCH(B43,Listas!$A$2:$A$40,0)),""))</f>
        <v/>
      </c>
    </row>
    <row r="44" customFormat="false" ht="15" hidden="false" customHeight="false" outlineLevel="0" collapsed="false">
      <c r="A44" s="19"/>
      <c r="B44" s="17"/>
      <c r="C44" s="17"/>
      <c r="D44" s="18"/>
      <c r="E44" s="17"/>
      <c r="F44" s="22"/>
      <c r="G44" s="22"/>
      <c r="H44" s="22"/>
      <c r="I44" s="17"/>
      <c r="J44" s="20" t="str">
        <f aca="false">IF(B44="","",IFERROR(INDEX(Listas!$B$2:$B$40,MATCH(B44,Listas!$A$2:$A$40,0)),""))</f>
        <v/>
      </c>
    </row>
    <row r="45" customFormat="false" ht="15" hidden="false" customHeight="false" outlineLevel="0" collapsed="false">
      <c r="A45" s="19"/>
      <c r="B45" s="17"/>
      <c r="C45" s="17"/>
      <c r="D45" s="18"/>
      <c r="E45" s="17"/>
      <c r="F45" s="22"/>
      <c r="G45" s="22"/>
      <c r="H45" s="22"/>
      <c r="I45" s="17"/>
      <c r="J45" s="20" t="str">
        <f aca="false">IF(B45="","",IFERROR(INDEX(Listas!$B$2:$B$40,MATCH(B45,Listas!$A$2:$A$40,0)),""))</f>
        <v/>
      </c>
    </row>
    <row r="46" customFormat="false" ht="15" hidden="false" customHeight="false" outlineLevel="0" collapsed="false">
      <c r="A46" s="19"/>
      <c r="B46" s="17"/>
      <c r="C46" s="17"/>
      <c r="D46" s="18"/>
      <c r="E46" s="17"/>
      <c r="F46" s="22"/>
      <c r="G46" s="22"/>
      <c r="H46" s="22"/>
      <c r="I46" s="17"/>
      <c r="J46" s="20" t="str">
        <f aca="false">IF(B46="","",IFERROR(INDEX(Listas!$B$2:$B$40,MATCH(B46,Listas!$A$2:$A$40,0)),""))</f>
        <v/>
      </c>
    </row>
    <row r="47" customFormat="false" ht="15" hidden="false" customHeight="false" outlineLevel="0" collapsed="false">
      <c r="A47" s="19"/>
      <c r="B47" s="17"/>
      <c r="C47" s="17"/>
      <c r="D47" s="18"/>
      <c r="E47" s="17"/>
      <c r="F47" s="22"/>
      <c r="G47" s="22"/>
      <c r="H47" s="22"/>
      <c r="I47" s="17"/>
      <c r="J47" s="20" t="str">
        <f aca="false">IF(B47="","",IFERROR(INDEX(Listas!$B$2:$B$40,MATCH(B47,Listas!$A$2:$A$40,0)),""))</f>
        <v/>
      </c>
    </row>
    <row r="48" customFormat="false" ht="15" hidden="false" customHeight="false" outlineLevel="0" collapsed="false">
      <c r="A48" s="19"/>
      <c r="B48" s="17"/>
      <c r="C48" s="17"/>
      <c r="D48" s="18"/>
      <c r="E48" s="17"/>
      <c r="F48" s="22"/>
      <c r="G48" s="22"/>
      <c r="H48" s="22"/>
      <c r="I48" s="17"/>
      <c r="J48" s="20" t="str">
        <f aca="false">IF(B48="","",IFERROR(INDEX(Listas!$B$2:$B$40,MATCH(B48,Listas!$A$2:$A$40,0)),""))</f>
        <v/>
      </c>
    </row>
    <row r="49" customFormat="false" ht="15" hidden="false" customHeight="false" outlineLevel="0" collapsed="false">
      <c r="A49" s="19"/>
      <c r="B49" s="17"/>
      <c r="C49" s="17"/>
      <c r="D49" s="18"/>
      <c r="E49" s="17"/>
      <c r="F49" s="22"/>
      <c r="G49" s="22"/>
      <c r="H49" s="22"/>
      <c r="I49" s="17"/>
      <c r="J49" s="20" t="str">
        <f aca="false">IF(B49="","",IFERROR(INDEX(Listas!$B$2:$B$40,MATCH(B49,Listas!$A$2:$A$40,0)),""))</f>
        <v/>
      </c>
    </row>
    <row r="50" customFormat="false" ht="15" hidden="false" customHeight="false" outlineLevel="0" collapsed="false">
      <c r="A50" s="19"/>
      <c r="B50" s="17"/>
      <c r="C50" s="17"/>
      <c r="D50" s="18"/>
      <c r="E50" s="17"/>
      <c r="F50" s="22"/>
      <c r="G50" s="22"/>
      <c r="H50" s="22"/>
      <c r="I50" s="17"/>
      <c r="J50" s="20" t="str">
        <f aca="false">IF(B50="","",IFERROR(INDEX(Listas!$B$2:$B$40,MATCH(B50,Listas!$A$2:$A$40,0)),""))</f>
        <v/>
      </c>
    </row>
    <row r="51" customFormat="false" ht="15" hidden="false" customHeight="false" outlineLevel="0" collapsed="false">
      <c r="A51" s="19"/>
      <c r="B51" s="17"/>
      <c r="C51" s="17"/>
      <c r="D51" s="18"/>
      <c r="E51" s="17"/>
      <c r="F51" s="22"/>
      <c r="G51" s="22"/>
      <c r="H51" s="22"/>
      <c r="I51" s="17"/>
      <c r="J51" s="20" t="str">
        <f aca="false">IF(B51="","",IFERROR(INDEX(Listas!$B$2:$B$40,MATCH(B51,Listas!$A$2:$A$40,0)),""))</f>
        <v/>
      </c>
    </row>
    <row r="52" customFormat="false" ht="15" hidden="false" customHeight="false" outlineLevel="0" collapsed="false">
      <c r="A52" s="19"/>
      <c r="B52" s="17"/>
      <c r="C52" s="17"/>
      <c r="D52" s="18"/>
      <c r="E52" s="17"/>
      <c r="F52" s="22"/>
      <c r="G52" s="22"/>
      <c r="H52" s="22"/>
      <c r="I52" s="17"/>
      <c r="J52" s="20" t="str">
        <f aca="false">IF(B52="","",IFERROR(INDEX(Listas!$B$2:$B$40,MATCH(B52,Listas!$A$2:$A$40,0)),""))</f>
        <v/>
      </c>
    </row>
    <row r="53" customFormat="false" ht="15" hidden="false" customHeight="false" outlineLevel="0" collapsed="false">
      <c r="A53" s="19"/>
      <c r="B53" s="17"/>
      <c r="C53" s="17"/>
      <c r="D53" s="18"/>
      <c r="E53" s="17"/>
      <c r="F53" s="22"/>
      <c r="G53" s="22"/>
      <c r="H53" s="22"/>
      <c r="I53" s="17"/>
      <c r="J53" s="20" t="str">
        <f aca="false">IF(B53="","",IFERROR(INDEX(Listas!$B$2:$B$40,MATCH(B53,Listas!$A$2:$A$40,0)),""))</f>
        <v/>
      </c>
    </row>
    <row r="54" customFormat="false" ht="15" hidden="false" customHeight="false" outlineLevel="0" collapsed="false">
      <c r="A54" s="19"/>
      <c r="B54" s="17"/>
      <c r="C54" s="17"/>
      <c r="D54" s="18"/>
      <c r="E54" s="17"/>
      <c r="F54" s="22"/>
      <c r="G54" s="22"/>
      <c r="H54" s="22"/>
      <c r="I54" s="17"/>
      <c r="J54" s="20" t="str">
        <f aca="false">IF(B54="","",IFERROR(INDEX(Listas!$B$2:$B$40,MATCH(B54,Listas!$A$2:$A$40,0)),""))</f>
        <v/>
      </c>
    </row>
    <row r="55" customFormat="false" ht="15" hidden="false" customHeight="false" outlineLevel="0" collapsed="false">
      <c r="A55" s="19"/>
      <c r="B55" s="17"/>
      <c r="C55" s="17"/>
      <c r="D55" s="18"/>
      <c r="E55" s="17"/>
      <c r="F55" s="22"/>
      <c r="G55" s="22"/>
      <c r="H55" s="22"/>
      <c r="I55" s="17"/>
      <c r="J55" s="20" t="str">
        <f aca="false">IF(B55="","",IFERROR(INDEX(Listas!$B$2:$B$40,MATCH(B55,Listas!$A$2:$A$40,0)),""))</f>
        <v/>
      </c>
    </row>
    <row r="56" customFormat="false" ht="15" hidden="false" customHeight="false" outlineLevel="0" collapsed="false">
      <c r="A56" s="19"/>
      <c r="B56" s="17"/>
      <c r="C56" s="17"/>
      <c r="D56" s="18"/>
      <c r="E56" s="17"/>
      <c r="F56" s="22"/>
      <c r="G56" s="22"/>
      <c r="H56" s="22"/>
      <c r="I56" s="17"/>
      <c r="J56" s="20" t="str">
        <f aca="false">IF(B56="","",IFERROR(INDEX(Listas!$B$2:$B$40,MATCH(B56,Listas!$A$2:$A$40,0)),""))</f>
        <v/>
      </c>
    </row>
    <row r="57" customFormat="false" ht="15" hidden="false" customHeight="false" outlineLevel="0" collapsed="false">
      <c r="A57" s="19"/>
      <c r="B57" s="17"/>
      <c r="C57" s="17"/>
      <c r="D57" s="18"/>
      <c r="E57" s="17"/>
      <c r="F57" s="22"/>
      <c r="G57" s="22"/>
      <c r="H57" s="22"/>
      <c r="I57" s="17"/>
      <c r="J57" s="20" t="str">
        <f aca="false">IF(B57="","",IFERROR(INDEX(Listas!$B$2:$B$40,MATCH(B57,Listas!$A$2:$A$40,0)),""))</f>
        <v/>
      </c>
    </row>
    <row r="58" customFormat="false" ht="15" hidden="false" customHeight="false" outlineLevel="0" collapsed="false">
      <c r="A58" s="19"/>
      <c r="B58" s="17"/>
      <c r="C58" s="17"/>
      <c r="D58" s="18"/>
      <c r="E58" s="17"/>
      <c r="F58" s="22"/>
      <c r="G58" s="22"/>
      <c r="H58" s="22"/>
      <c r="I58" s="17"/>
      <c r="J58" s="20" t="str">
        <f aca="false">IF(B58="","",IFERROR(INDEX(Listas!$B$2:$B$40,MATCH(B58,Listas!$A$2:$A$40,0)),""))</f>
        <v/>
      </c>
    </row>
    <row r="59" customFormat="false" ht="15" hidden="false" customHeight="false" outlineLevel="0" collapsed="false">
      <c r="A59" s="19"/>
      <c r="B59" s="17"/>
      <c r="C59" s="17"/>
      <c r="D59" s="18"/>
      <c r="E59" s="17"/>
      <c r="F59" s="22"/>
      <c r="G59" s="22"/>
      <c r="H59" s="22"/>
      <c r="I59" s="17"/>
      <c r="J59" s="20" t="str">
        <f aca="false">IF(B59="","",IFERROR(INDEX(Listas!$B$2:$B$40,MATCH(B59,Listas!$A$2:$A$40,0)),""))</f>
        <v/>
      </c>
    </row>
    <row r="60" customFormat="false" ht="15" hidden="false" customHeight="false" outlineLevel="0" collapsed="false">
      <c r="A60" s="19"/>
      <c r="B60" s="17"/>
      <c r="C60" s="17"/>
      <c r="D60" s="18"/>
      <c r="E60" s="17"/>
      <c r="F60" s="22"/>
      <c r="G60" s="22"/>
      <c r="H60" s="22"/>
      <c r="I60" s="17"/>
      <c r="J60" s="20" t="str">
        <f aca="false">IF(B60="","",IFERROR(INDEX(Listas!$B$2:$B$40,MATCH(B60,Listas!$A$2:$A$40,0)),""))</f>
        <v/>
      </c>
    </row>
    <row r="61" customFormat="false" ht="15" hidden="false" customHeight="false" outlineLevel="0" collapsed="false">
      <c r="A61" s="19"/>
      <c r="B61" s="17"/>
      <c r="C61" s="17"/>
      <c r="D61" s="18"/>
      <c r="E61" s="17"/>
      <c r="F61" s="22"/>
      <c r="G61" s="22"/>
      <c r="H61" s="22"/>
      <c r="I61" s="17"/>
      <c r="J61" s="20" t="str">
        <f aca="false">IF(B61="","",IFERROR(INDEX(Listas!$B$2:$B$40,MATCH(B61,Listas!$A$2:$A$40,0)),""))</f>
        <v/>
      </c>
    </row>
    <row r="62" customFormat="false" ht="15" hidden="false" customHeight="false" outlineLevel="0" collapsed="false">
      <c r="A62" s="19"/>
      <c r="B62" s="17"/>
      <c r="C62" s="17"/>
      <c r="D62" s="18"/>
      <c r="E62" s="17"/>
      <c r="F62" s="22"/>
      <c r="G62" s="22"/>
      <c r="H62" s="22"/>
      <c r="I62" s="17"/>
      <c r="J62" s="20" t="str">
        <f aca="false">IF(B62="","",IFERROR(INDEX(Listas!$B$2:$B$40,MATCH(B62,Listas!$A$2:$A$40,0)),""))</f>
        <v/>
      </c>
    </row>
    <row r="63" customFormat="false" ht="15" hidden="false" customHeight="false" outlineLevel="0" collapsed="false">
      <c r="A63" s="19"/>
      <c r="B63" s="17"/>
      <c r="C63" s="17"/>
      <c r="D63" s="18"/>
      <c r="E63" s="17"/>
      <c r="F63" s="22"/>
      <c r="G63" s="22"/>
      <c r="H63" s="22"/>
      <c r="I63" s="17"/>
      <c r="J63" s="20" t="str">
        <f aca="false">IF(B63="","",IFERROR(INDEX(Listas!$B$2:$B$40,MATCH(B63,Listas!$A$2:$A$40,0)),""))</f>
        <v/>
      </c>
    </row>
    <row r="64" customFormat="false" ht="15" hidden="false" customHeight="false" outlineLevel="0" collapsed="false">
      <c r="A64" s="19"/>
      <c r="B64" s="17"/>
      <c r="C64" s="17"/>
      <c r="D64" s="18"/>
      <c r="E64" s="17"/>
      <c r="F64" s="22"/>
      <c r="G64" s="22"/>
      <c r="H64" s="22"/>
      <c r="I64" s="17"/>
      <c r="J64" s="20" t="str">
        <f aca="false">IF(B64="","",IFERROR(INDEX(Listas!$B$2:$B$40,MATCH(B64,Listas!$A$2:$A$40,0)),""))</f>
        <v/>
      </c>
    </row>
    <row r="65" customFormat="false" ht="15" hidden="false" customHeight="false" outlineLevel="0" collapsed="false">
      <c r="A65" s="19"/>
      <c r="B65" s="17"/>
      <c r="C65" s="17"/>
      <c r="D65" s="18"/>
      <c r="E65" s="17"/>
      <c r="F65" s="22"/>
      <c r="G65" s="22"/>
      <c r="H65" s="22"/>
      <c r="I65" s="17"/>
      <c r="J65" s="20" t="str">
        <f aca="false">IF(B65="","",IFERROR(INDEX(Listas!$B$2:$B$40,MATCH(B65,Listas!$A$2:$A$40,0)),""))</f>
        <v/>
      </c>
    </row>
    <row r="66" customFormat="false" ht="15" hidden="false" customHeight="false" outlineLevel="0" collapsed="false">
      <c r="A66" s="19"/>
      <c r="B66" s="17"/>
      <c r="C66" s="17"/>
      <c r="D66" s="18"/>
      <c r="E66" s="17"/>
      <c r="F66" s="22"/>
      <c r="G66" s="22"/>
      <c r="H66" s="22"/>
      <c r="I66" s="17"/>
      <c r="J66" s="20" t="str">
        <f aca="false">IF(B66="","",IFERROR(INDEX(Listas!$B$2:$B$40,MATCH(B66,Listas!$A$2:$A$40,0)),""))</f>
        <v/>
      </c>
    </row>
    <row r="67" customFormat="false" ht="15" hidden="false" customHeight="false" outlineLevel="0" collapsed="false">
      <c r="A67" s="19"/>
      <c r="B67" s="17"/>
      <c r="C67" s="17"/>
      <c r="D67" s="18"/>
      <c r="E67" s="17"/>
      <c r="F67" s="22"/>
      <c r="G67" s="22"/>
      <c r="H67" s="22"/>
      <c r="I67" s="17"/>
      <c r="J67" s="20" t="str">
        <f aca="false">IF(B67="","",IFERROR(INDEX(Listas!$B$2:$B$40,MATCH(B67,Listas!$A$2:$A$40,0)),""))</f>
        <v/>
      </c>
    </row>
    <row r="68" customFormat="false" ht="15" hidden="false" customHeight="false" outlineLevel="0" collapsed="false">
      <c r="A68" s="19"/>
      <c r="B68" s="17"/>
      <c r="C68" s="17"/>
      <c r="D68" s="18"/>
      <c r="E68" s="17"/>
      <c r="F68" s="22"/>
      <c r="G68" s="22"/>
      <c r="H68" s="22"/>
      <c r="I68" s="17"/>
      <c r="J68" s="20" t="str">
        <f aca="false">IF(B68="","",IFERROR(INDEX(Listas!$B$2:$B$40,MATCH(B68,Listas!$A$2:$A$40,0)),""))</f>
        <v/>
      </c>
    </row>
    <row r="69" customFormat="false" ht="15" hidden="false" customHeight="false" outlineLevel="0" collapsed="false">
      <c r="A69" s="19"/>
      <c r="B69" s="17"/>
      <c r="C69" s="17"/>
      <c r="D69" s="18"/>
      <c r="E69" s="17"/>
      <c r="F69" s="22"/>
      <c r="G69" s="22"/>
      <c r="H69" s="22"/>
      <c r="I69" s="17"/>
      <c r="J69" s="20" t="str">
        <f aca="false">IF(B69="","",IFERROR(INDEX(Listas!$B$2:$B$40,MATCH(B69,Listas!$A$2:$A$40,0)),""))</f>
        <v/>
      </c>
    </row>
    <row r="70" customFormat="false" ht="15" hidden="false" customHeight="false" outlineLevel="0" collapsed="false">
      <c r="A70" s="19"/>
      <c r="B70" s="17"/>
      <c r="C70" s="17"/>
      <c r="D70" s="18"/>
      <c r="E70" s="17"/>
      <c r="F70" s="22"/>
      <c r="G70" s="22"/>
      <c r="H70" s="22"/>
      <c r="I70" s="17"/>
      <c r="J70" s="20" t="str">
        <f aca="false">IF(B70="","",IFERROR(INDEX(Listas!$B$2:$B$40,MATCH(B70,Listas!$A$2:$A$40,0)),""))</f>
        <v/>
      </c>
    </row>
    <row r="71" customFormat="false" ht="15" hidden="false" customHeight="false" outlineLevel="0" collapsed="false">
      <c r="A71" s="19"/>
      <c r="B71" s="17"/>
      <c r="C71" s="17"/>
      <c r="D71" s="18"/>
      <c r="E71" s="17"/>
      <c r="F71" s="22"/>
      <c r="G71" s="22"/>
      <c r="H71" s="22"/>
      <c r="I71" s="17"/>
      <c r="J71" s="20" t="str">
        <f aca="false">IF(B71="","",IFERROR(INDEX(Listas!$B$2:$B$40,MATCH(B71,Listas!$A$2:$A$40,0)),""))</f>
        <v/>
      </c>
    </row>
    <row r="72" customFormat="false" ht="15" hidden="false" customHeight="false" outlineLevel="0" collapsed="false">
      <c r="A72" s="19"/>
      <c r="B72" s="17"/>
      <c r="C72" s="17"/>
      <c r="D72" s="18"/>
      <c r="E72" s="17"/>
      <c r="F72" s="22"/>
      <c r="G72" s="22"/>
      <c r="H72" s="22"/>
      <c r="I72" s="17"/>
      <c r="J72" s="20" t="str">
        <f aca="false">IF(B72="","",IFERROR(INDEX(Listas!$B$2:$B$40,MATCH(B72,Listas!$A$2:$A$40,0)),""))</f>
        <v/>
      </c>
    </row>
    <row r="73" customFormat="false" ht="15" hidden="false" customHeight="false" outlineLevel="0" collapsed="false">
      <c r="A73" s="19"/>
      <c r="B73" s="17"/>
      <c r="C73" s="17"/>
      <c r="D73" s="18"/>
      <c r="E73" s="17"/>
      <c r="F73" s="22"/>
      <c r="G73" s="22"/>
      <c r="H73" s="22"/>
      <c r="I73" s="17"/>
      <c r="J73" s="20" t="str">
        <f aca="false">IF(B73="","",IFERROR(INDEX(Listas!$B$2:$B$40,MATCH(B73,Listas!$A$2:$A$40,0)),""))</f>
        <v/>
      </c>
    </row>
    <row r="74" customFormat="false" ht="15" hidden="false" customHeight="false" outlineLevel="0" collapsed="false">
      <c r="A74" s="19"/>
      <c r="B74" s="17"/>
      <c r="C74" s="17"/>
      <c r="D74" s="18"/>
      <c r="E74" s="17"/>
      <c r="F74" s="22"/>
      <c r="G74" s="22"/>
      <c r="H74" s="22"/>
      <c r="I74" s="17"/>
      <c r="J74" s="20" t="str">
        <f aca="false">IF(B74="","",IFERROR(INDEX(Listas!$B$2:$B$40,MATCH(B74,Listas!$A$2:$A$40,0)),""))</f>
        <v/>
      </c>
    </row>
    <row r="75" customFormat="false" ht="15" hidden="false" customHeight="false" outlineLevel="0" collapsed="false">
      <c r="A75" s="19"/>
      <c r="B75" s="17"/>
      <c r="C75" s="17"/>
      <c r="D75" s="18"/>
      <c r="E75" s="17"/>
      <c r="F75" s="22"/>
      <c r="G75" s="22"/>
      <c r="H75" s="22"/>
      <c r="I75" s="17"/>
      <c r="J75" s="20" t="str">
        <f aca="false">IF(B75="","",IFERROR(INDEX(Listas!$B$2:$B$40,MATCH(B75,Listas!$A$2:$A$40,0)),""))</f>
        <v/>
      </c>
    </row>
    <row r="76" customFormat="false" ht="15" hidden="false" customHeight="false" outlineLevel="0" collapsed="false">
      <c r="A76" s="19"/>
      <c r="B76" s="17"/>
      <c r="C76" s="17"/>
      <c r="D76" s="18"/>
      <c r="E76" s="17"/>
      <c r="F76" s="22"/>
      <c r="G76" s="22"/>
      <c r="H76" s="22"/>
      <c r="I76" s="17"/>
      <c r="J76" s="20" t="str">
        <f aca="false">IF(B76="","",IFERROR(INDEX(Listas!$B$2:$B$40,MATCH(B76,Listas!$A$2:$A$40,0)),""))</f>
        <v/>
      </c>
    </row>
    <row r="77" customFormat="false" ht="15" hidden="false" customHeight="false" outlineLevel="0" collapsed="false">
      <c r="A77" s="19"/>
      <c r="B77" s="17"/>
      <c r="C77" s="17"/>
      <c r="D77" s="18"/>
      <c r="E77" s="17"/>
      <c r="F77" s="22"/>
      <c r="G77" s="22"/>
      <c r="H77" s="22"/>
      <c r="I77" s="17"/>
      <c r="J77" s="20" t="str">
        <f aca="false">IF(B77="","",IFERROR(INDEX(Listas!$B$2:$B$40,MATCH(B77,Listas!$A$2:$A$40,0)),""))</f>
        <v/>
      </c>
    </row>
    <row r="78" customFormat="false" ht="15" hidden="false" customHeight="false" outlineLevel="0" collapsed="false">
      <c r="A78" s="19"/>
      <c r="B78" s="17"/>
      <c r="C78" s="17"/>
      <c r="D78" s="18"/>
      <c r="E78" s="17"/>
      <c r="F78" s="22"/>
      <c r="G78" s="22"/>
      <c r="H78" s="22"/>
      <c r="I78" s="17"/>
      <c r="J78" s="20" t="str">
        <f aca="false">IF(B78="","",IFERROR(INDEX(Listas!$B$2:$B$40,MATCH(B78,Listas!$A$2:$A$40,0)),""))</f>
        <v/>
      </c>
    </row>
    <row r="79" customFormat="false" ht="15" hidden="false" customHeight="false" outlineLevel="0" collapsed="false">
      <c r="A79" s="19"/>
      <c r="B79" s="17"/>
      <c r="C79" s="17"/>
      <c r="D79" s="18"/>
      <c r="E79" s="17"/>
      <c r="F79" s="22"/>
      <c r="G79" s="22"/>
      <c r="H79" s="22"/>
      <c r="I79" s="17"/>
      <c r="J79" s="20" t="str">
        <f aca="false">IF(B79="","",IFERROR(INDEX(Listas!$B$2:$B$40,MATCH(B79,Listas!$A$2:$A$40,0)),""))</f>
        <v/>
      </c>
    </row>
    <row r="80" customFormat="false" ht="15" hidden="false" customHeight="false" outlineLevel="0" collapsed="false">
      <c r="A80" s="19"/>
      <c r="B80" s="17"/>
      <c r="C80" s="17"/>
      <c r="D80" s="18"/>
      <c r="E80" s="17"/>
      <c r="F80" s="22"/>
      <c r="G80" s="22"/>
      <c r="H80" s="22"/>
      <c r="I80" s="17"/>
      <c r="J80" s="20" t="str">
        <f aca="false">IF(B80="","",IFERROR(INDEX(Listas!$B$2:$B$40,MATCH(B80,Listas!$A$2:$A$40,0)),""))</f>
        <v/>
      </c>
    </row>
    <row r="81" customFormat="false" ht="15" hidden="false" customHeight="false" outlineLevel="0" collapsed="false">
      <c r="A81" s="19"/>
      <c r="B81" s="17"/>
      <c r="C81" s="17"/>
      <c r="D81" s="18"/>
      <c r="E81" s="17"/>
      <c r="F81" s="22"/>
      <c r="G81" s="22"/>
      <c r="H81" s="22"/>
      <c r="I81" s="17"/>
      <c r="J81" s="20" t="str">
        <f aca="false">IF(B81="","",IFERROR(INDEX(Listas!$B$2:$B$40,MATCH(B81,Listas!$A$2:$A$40,0)),""))</f>
        <v/>
      </c>
    </row>
    <row r="82" customFormat="false" ht="15" hidden="false" customHeight="false" outlineLevel="0" collapsed="false">
      <c r="A82" s="19"/>
      <c r="B82" s="17"/>
      <c r="C82" s="17"/>
      <c r="D82" s="18"/>
      <c r="E82" s="17"/>
      <c r="F82" s="22"/>
      <c r="G82" s="22"/>
      <c r="H82" s="22"/>
      <c r="I82" s="17"/>
      <c r="J82" s="20" t="str">
        <f aca="false">IF(B82="","",IFERROR(INDEX(Listas!$B$2:$B$40,MATCH(B82,Listas!$A$2:$A$40,0)),""))</f>
        <v/>
      </c>
    </row>
    <row r="83" customFormat="false" ht="15" hidden="false" customHeight="false" outlineLevel="0" collapsed="false">
      <c r="A83" s="19"/>
      <c r="B83" s="17"/>
      <c r="C83" s="17"/>
      <c r="D83" s="18"/>
      <c r="E83" s="17"/>
      <c r="F83" s="22"/>
      <c r="G83" s="22"/>
      <c r="H83" s="22"/>
      <c r="I83" s="17"/>
      <c r="J83" s="20" t="str">
        <f aca="false">IF(B83="","",IFERROR(INDEX(Listas!$B$2:$B$40,MATCH(B83,Listas!$A$2:$A$40,0)),""))</f>
        <v/>
      </c>
    </row>
    <row r="84" customFormat="false" ht="15" hidden="false" customHeight="false" outlineLevel="0" collapsed="false">
      <c r="A84" s="19"/>
      <c r="B84" s="17"/>
      <c r="C84" s="17"/>
      <c r="D84" s="18"/>
      <c r="E84" s="17"/>
      <c r="F84" s="22"/>
      <c r="G84" s="22"/>
      <c r="H84" s="22"/>
      <c r="I84" s="17"/>
      <c r="J84" s="20" t="str">
        <f aca="false">IF(B84="","",IFERROR(INDEX(Listas!$B$2:$B$40,MATCH(B84,Listas!$A$2:$A$40,0)),""))</f>
        <v/>
      </c>
    </row>
    <row r="85" customFormat="false" ht="15" hidden="false" customHeight="false" outlineLevel="0" collapsed="false">
      <c r="A85" s="19"/>
      <c r="B85" s="17"/>
      <c r="C85" s="17"/>
      <c r="D85" s="18"/>
      <c r="E85" s="17"/>
      <c r="F85" s="22"/>
      <c r="G85" s="22"/>
      <c r="H85" s="22"/>
      <c r="I85" s="17"/>
      <c r="J85" s="20" t="str">
        <f aca="false">IF(B85="","",IFERROR(INDEX(Listas!$B$2:$B$40,MATCH(B85,Listas!$A$2:$A$40,0)),""))</f>
        <v/>
      </c>
    </row>
    <row r="86" customFormat="false" ht="15" hidden="false" customHeight="false" outlineLevel="0" collapsed="false">
      <c r="A86" s="19"/>
      <c r="B86" s="17"/>
      <c r="C86" s="17"/>
      <c r="D86" s="18"/>
      <c r="E86" s="17"/>
      <c r="F86" s="22"/>
      <c r="G86" s="22"/>
      <c r="H86" s="22"/>
      <c r="I86" s="17"/>
      <c r="J86" s="20" t="str">
        <f aca="false">IF(B86="","",IFERROR(INDEX(Listas!$B$2:$B$40,MATCH(B86,Listas!$A$2:$A$40,0)),""))</f>
        <v/>
      </c>
    </row>
    <row r="87" customFormat="false" ht="15" hidden="false" customHeight="false" outlineLevel="0" collapsed="false">
      <c r="A87" s="19"/>
      <c r="B87" s="17"/>
      <c r="C87" s="17"/>
      <c r="D87" s="18"/>
      <c r="E87" s="17"/>
      <c r="F87" s="22"/>
      <c r="G87" s="22"/>
      <c r="H87" s="22"/>
      <c r="I87" s="17"/>
      <c r="J87" s="20" t="str">
        <f aca="false">IF(B87="","",IFERROR(INDEX(Listas!$B$2:$B$40,MATCH(B87,Listas!$A$2:$A$40,0)),""))</f>
        <v/>
      </c>
    </row>
    <row r="88" customFormat="false" ht="15" hidden="false" customHeight="false" outlineLevel="0" collapsed="false">
      <c r="A88" s="19"/>
      <c r="B88" s="17"/>
      <c r="C88" s="17"/>
      <c r="D88" s="18"/>
      <c r="E88" s="17"/>
      <c r="F88" s="22"/>
      <c r="G88" s="22"/>
      <c r="H88" s="22"/>
      <c r="I88" s="17"/>
      <c r="J88" s="20" t="str">
        <f aca="false">IF(B88="","",IFERROR(INDEX(Listas!$B$2:$B$40,MATCH(B88,Listas!$A$2:$A$40,0)),""))</f>
        <v/>
      </c>
    </row>
    <row r="89" customFormat="false" ht="15" hidden="false" customHeight="false" outlineLevel="0" collapsed="false">
      <c r="A89" s="19"/>
      <c r="B89" s="17"/>
      <c r="C89" s="17"/>
      <c r="D89" s="18"/>
      <c r="E89" s="17"/>
      <c r="F89" s="22"/>
      <c r="G89" s="22"/>
      <c r="H89" s="22"/>
      <c r="I89" s="17"/>
      <c r="J89" s="20" t="str">
        <f aca="false">IF(B89="","",IFERROR(INDEX(Listas!$B$2:$B$40,MATCH(B89,Listas!$A$2:$A$40,0)),""))</f>
        <v/>
      </c>
    </row>
    <row r="90" customFormat="false" ht="15" hidden="false" customHeight="false" outlineLevel="0" collapsed="false">
      <c r="A90" s="19"/>
      <c r="B90" s="17"/>
      <c r="C90" s="17"/>
      <c r="D90" s="18"/>
      <c r="E90" s="17"/>
      <c r="F90" s="22"/>
      <c r="G90" s="22"/>
      <c r="H90" s="22"/>
      <c r="I90" s="17"/>
      <c r="J90" s="20" t="str">
        <f aca="false">IF(B90="","",IFERROR(INDEX(Listas!$B$2:$B$40,MATCH(B90,Listas!$A$2:$A$40,0)),""))</f>
        <v/>
      </c>
    </row>
    <row r="91" customFormat="false" ht="15" hidden="false" customHeight="false" outlineLevel="0" collapsed="false">
      <c r="A91" s="19"/>
      <c r="B91" s="17"/>
      <c r="C91" s="17"/>
      <c r="D91" s="18"/>
      <c r="E91" s="17"/>
      <c r="F91" s="22"/>
      <c r="G91" s="22"/>
      <c r="H91" s="22"/>
      <c r="I91" s="17"/>
      <c r="J91" s="20" t="str">
        <f aca="false">IF(B91="","",IFERROR(INDEX(Listas!$B$2:$B$40,MATCH(B91,Listas!$A$2:$A$40,0)),""))</f>
        <v/>
      </c>
    </row>
    <row r="92" customFormat="false" ht="15" hidden="false" customHeight="false" outlineLevel="0" collapsed="false">
      <c r="A92" s="19"/>
      <c r="B92" s="17"/>
      <c r="C92" s="17"/>
      <c r="D92" s="18"/>
      <c r="E92" s="17"/>
      <c r="F92" s="22"/>
      <c r="G92" s="22"/>
      <c r="H92" s="22"/>
      <c r="I92" s="17"/>
      <c r="J92" s="20" t="str">
        <f aca="false">IF(B92="","",IFERROR(INDEX(Listas!$B$2:$B$40,MATCH(B92,Listas!$A$2:$A$40,0)),""))</f>
        <v/>
      </c>
    </row>
    <row r="93" customFormat="false" ht="15" hidden="false" customHeight="false" outlineLevel="0" collapsed="false">
      <c r="A93" s="19"/>
      <c r="B93" s="17"/>
      <c r="C93" s="17"/>
      <c r="D93" s="18"/>
      <c r="E93" s="17"/>
      <c r="F93" s="22"/>
      <c r="G93" s="22"/>
      <c r="H93" s="22"/>
      <c r="I93" s="17"/>
      <c r="J93" s="20" t="str">
        <f aca="false">IF(B93="","",IFERROR(INDEX(Listas!$B$2:$B$40,MATCH(B93,Listas!$A$2:$A$40,0)),""))</f>
        <v/>
      </c>
    </row>
    <row r="94" customFormat="false" ht="15" hidden="false" customHeight="false" outlineLevel="0" collapsed="false">
      <c r="A94" s="19"/>
      <c r="B94" s="17"/>
      <c r="C94" s="17"/>
      <c r="D94" s="18"/>
      <c r="E94" s="17"/>
      <c r="F94" s="22"/>
      <c r="G94" s="22"/>
      <c r="H94" s="22"/>
      <c r="I94" s="17"/>
      <c r="J94" s="20" t="str">
        <f aca="false">IF(B94="","",IFERROR(INDEX(Listas!$B$2:$B$40,MATCH(B94,Listas!$A$2:$A$40,0)),""))</f>
        <v/>
      </c>
    </row>
    <row r="95" customFormat="false" ht="15" hidden="false" customHeight="false" outlineLevel="0" collapsed="false">
      <c r="A95" s="19"/>
      <c r="B95" s="17"/>
      <c r="C95" s="17"/>
      <c r="D95" s="18"/>
      <c r="E95" s="17"/>
      <c r="F95" s="22"/>
      <c r="G95" s="22"/>
      <c r="H95" s="22"/>
      <c r="I95" s="17"/>
      <c r="J95" s="20" t="str">
        <f aca="false">IF(B95="","",IFERROR(INDEX(Listas!$B$2:$B$40,MATCH(B95,Listas!$A$2:$A$40,0)),""))</f>
        <v/>
      </c>
    </row>
    <row r="96" customFormat="false" ht="15" hidden="false" customHeight="false" outlineLevel="0" collapsed="false">
      <c r="A96" s="19"/>
      <c r="B96" s="17"/>
      <c r="C96" s="17"/>
      <c r="D96" s="18"/>
      <c r="E96" s="17"/>
      <c r="F96" s="22"/>
      <c r="G96" s="22"/>
      <c r="H96" s="22"/>
      <c r="I96" s="17"/>
      <c r="J96" s="20" t="str">
        <f aca="false">IF(B96="","",IFERROR(INDEX(Listas!$B$2:$B$40,MATCH(B96,Listas!$A$2:$A$40,0)),""))</f>
        <v/>
      </c>
    </row>
    <row r="97" customFormat="false" ht="15" hidden="false" customHeight="false" outlineLevel="0" collapsed="false">
      <c r="A97" s="19"/>
      <c r="B97" s="17"/>
      <c r="C97" s="17"/>
      <c r="D97" s="18"/>
      <c r="E97" s="17"/>
      <c r="F97" s="22"/>
      <c r="G97" s="22"/>
      <c r="H97" s="22"/>
      <c r="I97" s="17"/>
      <c r="J97" s="20" t="str">
        <f aca="false">IF(B97="","",IFERROR(INDEX(Listas!$B$2:$B$40,MATCH(B97,Listas!$A$2:$A$40,0)),""))</f>
        <v/>
      </c>
    </row>
    <row r="98" customFormat="false" ht="15" hidden="false" customHeight="false" outlineLevel="0" collapsed="false">
      <c r="A98" s="19"/>
      <c r="B98" s="17"/>
      <c r="C98" s="17"/>
      <c r="D98" s="18"/>
      <c r="E98" s="17"/>
      <c r="F98" s="22"/>
      <c r="G98" s="22"/>
      <c r="H98" s="22"/>
      <c r="I98" s="17"/>
      <c r="J98" s="20" t="str">
        <f aca="false">IF(B98="","",IFERROR(INDEX(Listas!$B$2:$B$40,MATCH(B98,Listas!$A$2:$A$40,0)),""))</f>
        <v/>
      </c>
    </row>
    <row r="99" customFormat="false" ht="15" hidden="false" customHeight="false" outlineLevel="0" collapsed="false">
      <c r="A99" s="19"/>
      <c r="B99" s="17"/>
      <c r="C99" s="17"/>
      <c r="D99" s="18"/>
      <c r="E99" s="17"/>
      <c r="F99" s="22"/>
      <c r="G99" s="22"/>
      <c r="H99" s="22"/>
      <c r="I99" s="17"/>
      <c r="J99" s="20" t="str">
        <f aca="false">IF(B99="","",IFERROR(INDEX(Listas!$B$2:$B$40,MATCH(B99,Listas!$A$2:$A$40,0)),""))</f>
        <v/>
      </c>
    </row>
    <row r="100" customFormat="false" ht="15" hidden="false" customHeight="false" outlineLevel="0" collapsed="false">
      <c r="A100" s="19"/>
      <c r="B100" s="17"/>
      <c r="C100" s="17"/>
      <c r="D100" s="18"/>
      <c r="E100" s="17"/>
      <c r="F100" s="22"/>
      <c r="G100" s="22"/>
      <c r="H100" s="22"/>
      <c r="I100" s="17"/>
      <c r="J100" s="20" t="str">
        <f aca="false">IF(B100="","",IFERROR(INDEX(Listas!$B$2:$B$40,MATCH(B100,Listas!$A$2:$A$40,0)),""))</f>
        <v/>
      </c>
    </row>
    <row r="101" customFormat="false" ht="15" hidden="false" customHeight="false" outlineLevel="0" collapsed="false">
      <c r="A101" s="19"/>
      <c r="B101" s="17"/>
      <c r="C101" s="17"/>
      <c r="D101" s="18"/>
      <c r="E101" s="17"/>
      <c r="F101" s="22"/>
      <c r="G101" s="22"/>
      <c r="H101" s="22"/>
      <c r="I101" s="17"/>
      <c r="J101" s="20" t="str">
        <f aca="false">IF(B101="","",IFERROR(INDEX(Listas!$B$2:$B$40,MATCH(B101,Listas!$A$2:$A$40,0)),""))</f>
        <v/>
      </c>
    </row>
    <row r="102" customFormat="false" ht="15" hidden="false" customHeight="false" outlineLevel="0" collapsed="false">
      <c r="A102" s="19"/>
      <c r="B102" s="17"/>
      <c r="C102" s="17"/>
      <c r="D102" s="18"/>
      <c r="E102" s="17"/>
      <c r="F102" s="22"/>
      <c r="G102" s="22"/>
      <c r="H102" s="22"/>
      <c r="I102" s="17"/>
      <c r="J102" s="20" t="str">
        <f aca="false">IF(B102="","",IFERROR(INDEX(Listas!$B$2:$B$40,MATCH(B102,Listas!$A$2:$A$40,0)),""))</f>
        <v/>
      </c>
    </row>
    <row r="103" customFormat="false" ht="15" hidden="false" customHeight="false" outlineLevel="0" collapsed="false">
      <c r="A103" s="19"/>
      <c r="B103" s="17"/>
      <c r="C103" s="17"/>
      <c r="D103" s="18"/>
      <c r="E103" s="17"/>
      <c r="F103" s="22"/>
      <c r="G103" s="22"/>
      <c r="H103" s="22"/>
      <c r="I103" s="17"/>
      <c r="J103" s="20" t="str">
        <f aca="false">IF(B103="","",IFERROR(INDEX(Listas!$B$2:$B$40,MATCH(B103,Listas!$A$2:$A$40,0)),""))</f>
        <v/>
      </c>
    </row>
    <row r="104" customFormat="false" ht="15" hidden="false" customHeight="false" outlineLevel="0" collapsed="false">
      <c r="A104" s="19"/>
      <c r="B104" s="17"/>
      <c r="C104" s="17"/>
      <c r="D104" s="18"/>
      <c r="E104" s="17"/>
      <c r="F104" s="22"/>
      <c r="G104" s="22"/>
      <c r="H104" s="22"/>
      <c r="I104" s="17"/>
      <c r="J104" s="20" t="str">
        <f aca="false">IF(B104="","",IFERROR(INDEX(Listas!$B$2:$B$40,MATCH(B104,Listas!$A$2:$A$40,0)),""))</f>
        <v/>
      </c>
    </row>
    <row r="105" customFormat="false" ht="15" hidden="false" customHeight="false" outlineLevel="0" collapsed="false">
      <c r="A105" s="19"/>
      <c r="B105" s="17"/>
      <c r="C105" s="17"/>
      <c r="D105" s="18"/>
      <c r="E105" s="17"/>
      <c r="F105" s="22"/>
      <c r="G105" s="22"/>
      <c r="H105" s="22"/>
      <c r="I105" s="17"/>
      <c r="J105" s="20" t="str">
        <f aca="false">IF(B105="","",IFERROR(INDEX(Listas!$B$2:$B$40,MATCH(B105,Listas!$A$2:$A$40,0)),""))</f>
        <v/>
      </c>
    </row>
    <row r="106" customFormat="false" ht="15" hidden="false" customHeight="false" outlineLevel="0" collapsed="false">
      <c r="A106" s="19"/>
      <c r="B106" s="17"/>
      <c r="C106" s="17"/>
      <c r="D106" s="18"/>
      <c r="E106" s="17"/>
      <c r="F106" s="22"/>
      <c r="G106" s="22"/>
      <c r="H106" s="22"/>
      <c r="I106" s="17"/>
      <c r="J106" s="20" t="str">
        <f aca="false">IF(B106="","",IFERROR(INDEX(Listas!$B$2:$B$40,MATCH(B106,Listas!$A$2:$A$40,0)),""))</f>
        <v/>
      </c>
    </row>
    <row r="107" customFormat="false" ht="15" hidden="false" customHeight="false" outlineLevel="0" collapsed="false">
      <c r="A107" s="19"/>
      <c r="B107" s="17"/>
      <c r="C107" s="17"/>
      <c r="D107" s="18"/>
      <c r="E107" s="17"/>
      <c r="F107" s="22"/>
      <c r="G107" s="22"/>
      <c r="H107" s="22"/>
      <c r="I107" s="17"/>
      <c r="J107" s="20" t="str">
        <f aca="false">IF(B107="","",IFERROR(INDEX(Listas!$B$2:$B$40,MATCH(B107,Listas!$A$2:$A$40,0)),""))</f>
        <v/>
      </c>
    </row>
    <row r="108" customFormat="false" ht="15" hidden="false" customHeight="false" outlineLevel="0" collapsed="false">
      <c r="A108" s="19"/>
      <c r="B108" s="17"/>
      <c r="C108" s="17"/>
      <c r="D108" s="18"/>
      <c r="E108" s="17"/>
      <c r="F108" s="22"/>
      <c r="G108" s="22"/>
      <c r="H108" s="22"/>
      <c r="I108" s="17"/>
      <c r="J108" s="20" t="str">
        <f aca="false">IF(B108="","",IFERROR(INDEX(Listas!$B$2:$B$40,MATCH(B108,Listas!$A$2:$A$40,0)),""))</f>
        <v/>
      </c>
    </row>
    <row r="109" customFormat="false" ht="15" hidden="false" customHeight="false" outlineLevel="0" collapsed="false">
      <c r="A109" s="19"/>
      <c r="B109" s="17"/>
      <c r="C109" s="17"/>
      <c r="D109" s="18"/>
      <c r="E109" s="17"/>
      <c r="F109" s="22"/>
      <c r="G109" s="22"/>
      <c r="H109" s="22"/>
      <c r="I109" s="17"/>
      <c r="J109" s="20" t="str">
        <f aca="false">IF(B109="","",IFERROR(INDEX(Listas!$B$2:$B$40,MATCH(B109,Listas!$A$2:$A$40,0)),""))</f>
        <v/>
      </c>
    </row>
    <row r="110" customFormat="false" ht="15" hidden="false" customHeight="false" outlineLevel="0" collapsed="false">
      <c r="A110" s="19"/>
      <c r="B110" s="17"/>
      <c r="C110" s="17"/>
      <c r="D110" s="18"/>
      <c r="E110" s="17"/>
      <c r="F110" s="22"/>
      <c r="G110" s="22"/>
      <c r="H110" s="22"/>
      <c r="I110" s="17"/>
      <c r="J110" s="20" t="str">
        <f aca="false">IF(B110="","",IFERROR(INDEX(Listas!$B$2:$B$40,MATCH(B110,Listas!$A$2:$A$40,0)),""))</f>
        <v/>
      </c>
    </row>
    <row r="111" customFormat="false" ht="15" hidden="false" customHeight="false" outlineLevel="0" collapsed="false">
      <c r="A111" s="19"/>
      <c r="B111" s="17"/>
      <c r="C111" s="17"/>
      <c r="D111" s="18"/>
      <c r="E111" s="17"/>
      <c r="F111" s="22"/>
      <c r="G111" s="22"/>
      <c r="H111" s="22"/>
      <c r="I111" s="17"/>
      <c r="J111" s="20" t="str">
        <f aca="false">IF(B111="","",IFERROR(INDEX(Listas!$B$2:$B$40,MATCH(B111,Listas!$A$2:$A$40,0)),""))</f>
        <v/>
      </c>
    </row>
    <row r="112" customFormat="false" ht="15" hidden="false" customHeight="false" outlineLevel="0" collapsed="false">
      <c r="A112" s="19"/>
      <c r="B112" s="17"/>
      <c r="C112" s="17"/>
      <c r="D112" s="18"/>
      <c r="E112" s="17"/>
      <c r="F112" s="22"/>
      <c r="G112" s="22"/>
      <c r="H112" s="22"/>
      <c r="I112" s="17"/>
      <c r="J112" s="20" t="str">
        <f aca="false">IF(B112="","",IFERROR(INDEX(Listas!$B$2:$B$40,MATCH(B112,Listas!$A$2:$A$40,0)),""))</f>
        <v/>
      </c>
    </row>
    <row r="113" customFormat="false" ht="15" hidden="false" customHeight="false" outlineLevel="0" collapsed="false">
      <c r="A113" s="19"/>
      <c r="B113" s="17"/>
      <c r="C113" s="17"/>
      <c r="D113" s="18"/>
      <c r="E113" s="17"/>
      <c r="F113" s="22"/>
      <c r="G113" s="22"/>
      <c r="H113" s="22"/>
      <c r="I113" s="17"/>
      <c r="J113" s="20" t="str">
        <f aca="false">IF(B113="","",IFERROR(INDEX(Listas!$B$2:$B$40,MATCH(B113,Listas!$A$2:$A$40,0)),""))</f>
        <v/>
      </c>
    </row>
    <row r="114" customFormat="false" ht="15" hidden="false" customHeight="false" outlineLevel="0" collapsed="false">
      <c r="A114" s="19"/>
      <c r="B114" s="17"/>
      <c r="C114" s="17"/>
      <c r="D114" s="18"/>
      <c r="E114" s="17"/>
      <c r="F114" s="22"/>
      <c r="G114" s="22"/>
      <c r="H114" s="22"/>
      <c r="I114" s="17"/>
      <c r="J114" s="20" t="str">
        <f aca="false">IF(B114="","",IFERROR(INDEX(Listas!$B$2:$B$40,MATCH(B114,Listas!$A$2:$A$40,0)),""))</f>
        <v/>
      </c>
    </row>
    <row r="115" customFormat="false" ht="15" hidden="false" customHeight="false" outlineLevel="0" collapsed="false">
      <c r="A115" s="19"/>
      <c r="B115" s="17"/>
      <c r="C115" s="17"/>
      <c r="D115" s="18"/>
      <c r="E115" s="17"/>
      <c r="F115" s="22"/>
      <c r="G115" s="22"/>
      <c r="H115" s="22"/>
      <c r="I115" s="17"/>
      <c r="J115" s="20" t="str">
        <f aca="false">IF(B115="","",IFERROR(INDEX(Listas!$B$2:$B$40,MATCH(B115,Listas!$A$2:$A$40,0)),""))</f>
        <v/>
      </c>
    </row>
    <row r="116" customFormat="false" ht="15" hidden="false" customHeight="false" outlineLevel="0" collapsed="false">
      <c r="A116" s="19"/>
      <c r="B116" s="17"/>
      <c r="C116" s="17"/>
      <c r="D116" s="18"/>
      <c r="E116" s="17"/>
      <c r="F116" s="22"/>
      <c r="G116" s="22"/>
      <c r="H116" s="22"/>
      <c r="I116" s="17"/>
      <c r="J116" s="20" t="str">
        <f aca="false">IF(B116="","",IFERROR(INDEX(Listas!$B$2:$B$40,MATCH(B116,Listas!$A$2:$A$40,0)),""))</f>
        <v/>
      </c>
    </row>
    <row r="117" customFormat="false" ht="15" hidden="false" customHeight="false" outlineLevel="0" collapsed="false">
      <c r="A117" s="19"/>
      <c r="B117" s="17"/>
      <c r="C117" s="17"/>
      <c r="D117" s="18"/>
      <c r="E117" s="17"/>
      <c r="F117" s="22"/>
      <c r="G117" s="22"/>
      <c r="H117" s="22"/>
      <c r="I117" s="17"/>
      <c r="J117" s="20" t="str">
        <f aca="false">IF(B117="","",IFERROR(INDEX(Listas!$B$2:$B$40,MATCH(B117,Listas!$A$2:$A$40,0)),""))</f>
        <v/>
      </c>
    </row>
    <row r="118" customFormat="false" ht="15" hidden="false" customHeight="false" outlineLevel="0" collapsed="false">
      <c r="A118" s="19"/>
      <c r="B118" s="17"/>
      <c r="C118" s="17"/>
      <c r="D118" s="18"/>
      <c r="E118" s="17"/>
      <c r="F118" s="22"/>
      <c r="G118" s="22"/>
      <c r="H118" s="22"/>
      <c r="I118" s="17"/>
      <c r="J118" s="20" t="str">
        <f aca="false">IF(B118="","",IFERROR(INDEX(Listas!$B$2:$B$40,MATCH(B118,Listas!$A$2:$A$40,0)),""))</f>
        <v/>
      </c>
    </row>
    <row r="119" customFormat="false" ht="15" hidden="false" customHeight="false" outlineLevel="0" collapsed="false">
      <c r="A119" s="19"/>
      <c r="B119" s="17"/>
      <c r="C119" s="17"/>
      <c r="D119" s="18"/>
      <c r="E119" s="17"/>
      <c r="F119" s="22"/>
      <c r="G119" s="22"/>
      <c r="H119" s="22"/>
      <c r="I119" s="17"/>
      <c r="J119" s="20" t="str">
        <f aca="false">IF(B119="","",IFERROR(INDEX(Listas!$B$2:$B$40,MATCH(B119,Listas!$A$2:$A$40,0)),""))</f>
        <v/>
      </c>
    </row>
    <row r="120" customFormat="false" ht="15" hidden="false" customHeight="false" outlineLevel="0" collapsed="false">
      <c r="A120" s="19"/>
      <c r="B120" s="17"/>
      <c r="C120" s="17"/>
      <c r="D120" s="18"/>
      <c r="E120" s="17"/>
      <c r="F120" s="22"/>
      <c r="G120" s="22"/>
      <c r="H120" s="22"/>
      <c r="I120" s="17"/>
      <c r="J120" s="20" t="str">
        <f aca="false">IF(B120="","",IFERROR(INDEX(Listas!$B$2:$B$40,MATCH(B120,Listas!$A$2:$A$40,0)),""))</f>
        <v/>
      </c>
    </row>
    <row r="121" customFormat="false" ht="15" hidden="false" customHeight="false" outlineLevel="0" collapsed="false">
      <c r="A121" s="19"/>
      <c r="B121" s="17"/>
      <c r="C121" s="17"/>
      <c r="D121" s="18"/>
      <c r="E121" s="17"/>
      <c r="F121" s="22"/>
      <c r="G121" s="22"/>
      <c r="H121" s="22"/>
      <c r="I121" s="17"/>
      <c r="J121" s="20" t="str">
        <f aca="false">IF(B121="","",IFERROR(INDEX(Listas!$B$2:$B$40,MATCH(B121,Listas!$A$2:$A$40,0)),""))</f>
        <v/>
      </c>
    </row>
    <row r="122" customFormat="false" ht="15" hidden="false" customHeight="false" outlineLevel="0" collapsed="false">
      <c r="A122" s="19"/>
      <c r="B122" s="17"/>
      <c r="C122" s="17"/>
      <c r="D122" s="18"/>
      <c r="E122" s="17"/>
      <c r="F122" s="22"/>
      <c r="G122" s="22"/>
      <c r="H122" s="22"/>
      <c r="I122" s="17"/>
      <c r="J122" s="20" t="str">
        <f aca="false">IF(B122="","",IFERROR(INDEX(Listas!$B$2:$B$40,MATCH(B122,Listas!$A$2:$A$40,0)),""))</f>
        <v/>
      </c>
    </row>
    <row r="123" customFormat="false" ht="15" hidden="false" customHeight="false" outlineLevel="0" collapsed="false">
      <c r="A123" s="19"/>
      <c r="B123" s="17"/>
      <c r="C123" s="17"/>
      <c r="D123" s="18"/>
      <c r="E123" s="17"/>
      <c r="F123" s="22"/>
      <c r="G123" s="22"/>
      <c r="H123" s="22"/>
      <c r="I123" s="17"/>
      <c r="J123" s="20" t="str">
        <f aca="false">IF(B123="","",IFERROR(INDEX(Listas!$B$2:$B$40,MATCH(B123,Listas!$A$2:$A$40,0)),""))</f>
        <v/>
      </c>
    </row>
    <row r="124" customFormat="false" ht="15" hidden="false" customHeight="false" outlineLevel="0" collapsed="false">
      <c r="A124" s="19"/>
      <c r="B124" s="17"/>
      <c r="C124" s="17"/>
      <c r="D124" s="18"/>
      <c r="E124" s="17"/>
      <c r="F124" s="22"/>
      <c r="G124" s="22"/>
      <c r="H124" s="22"/>
      <c r="I124" s="17"/>
      <c r="J124" s="20" t="str">
        <f aca="false">IF(B124="","",IFERROR(INDEX(Listas!$B$2:$B$40,MATCH(B124,Listas!$A$2:$A$40,0)),""))</f>
        <v/>
      </c>
    </row>
    <row r="125" customFormat="false" ht="15" hidden="false" customHeight="false" outlineLevel="0" collapsed="false">
      <c r="A125" s="19"/>
      <c r="B125" s="17"/>
      <c r="C125" s="17"/>
      <c r="D125" s="18"/>
      <c r="E125" s="17"/>
      <c r="F125" s="22"/>
      <c r="G125" s="22"/>
      <c r="H125" s="22"/>
      <c r="I125" s="17"/>
      <c r="J125" s="20" t="str">
        <f aca="false">IF(B125="","",IFERROR(INDEX(Listas!$B$2:$B$40,MATCH(B125,Listas!$A$2:$A$40,0)),""))</f>
        <v/>
      </c>
    </row>
    <row r="126" customFormat="false" ht="15" hidden="false" customHeight="false" outlineLevel="0" collapsed="false">
      <c r="A126" s="19"/>
      <c r="B126" s="17"/>
      <c r="C126" s="17"/>
      <c r="D126" s="18"/>
      <c r="E126" s="17"/>
      <c r="F126" s="22"/>
      <c r="G126" s="22"/>
      <c r="H126" s="22"/>
      <c r="I126" s="17"/>
      <c r="J126" s="20" t="str">
        <f aca="false">IF(B126="","",IFERROR(INDEX(Listas!$B$2:$B$40,MATCH(B126,Listas!$A$2:$A$40,0)),""))</f>
        <v/>
      </c>
    </row>
    <row r="127" customFormat="false" ht="15" hidden="false" customHeight="false" outlineLevel="0" collapsed="false">
      <c r="A127" s="19"/>
      <c r="B127" s="17"/>
      <c r="C127" s="17"/>
      <c r="D127" s="18"/>
      <c r="E127" s="17"/>
      <c r="F127" s="22"/>
      <c r="G127" s="22"/>
      <c r="H127" s="22"/>
      <c r="I127" s="17"/>
      <c r="J127" s="20" t="str">
        <f aca="false">IF(B127="","",IFERROR(INDEX(Listas!$B$2:$B$40,MATCH(B127,Listas!$A$2:$A$40,0)),""))</f>
        <v/>
      </c>
    </row>
    <row r="128" customFormat="false" ht="15" hidden="false" customHeight="false" outlineLevel="0" collapsed="false">
      <c r="A128" s="19"/>
      <c r="B128" s="17"/>
      <c r="C128" s="17"/>
      <c r="D128" s="18"/>
      <c r="E128" s="17"/>
      <c r="F128" s="22"/>
      <c r="G128" s="22"/>
      <c r="H128" s="22"/>
      <c r="I128" s="17"/>
      <c r="J128" s="20" t="str">
        <f aca="false">IF(B128="","",IFERROR(INDEX(Listas!$B$2:$B$40,MATCH(B128,Listas!$A$2:$A$40,0)),""))</f>
        <v/>
      </c>
    </row>
    <row r="129" customFormat="false" ht="15" hidden="false" customHeight="false" outlineLevel="0" collapsed="false">
      <c r="A129" s="19"/>
      <c r="B129" s="17"/>
      <c r="C129" s="17"/>
      <c r="D129" s="18"/>
      <c r="E129" s="17"/>
      <c r="F129" s="22"/>
      <c r="G129" s="22"/>
      <c r="H129" s="22"/>
      <c r="I129" s="17"/>
      <c r="J129" s="20" t="str">
        <f aca="false">IF(B129="","",IFERROR(INDEX(Listas!$B$2:$B$40,MATCH(B129,Listas!$A$2:$A$40,0)),""))</f>
        <v/>
      </c>
    </row>
    <row r="130" customFormat="false" ht="15" hidden="false" customHeight="false" outlineLevel="0" collapsed="false">
      <c r="A130" s="19"/>
      <c r="B130" s="17"/>
      <c r="C130" s="17"/>
      <c r="D130" s="18"/>
      <c r="E130" s="17"/>
      <c r="F130" s="22"/>
      <c r="G130" s="22"/>
      <c r="H130" s="22"/>
      <c r="I130" s="17"/>
      <c r="J130" s="20" t="str">
        <f aca="false">IF(B130="","",IFERROR(INDEX(Listas!$B$2:$B$40,MATCH(B130,Listas!$A$2:$A$40,0)),""))</f>
        <v/>
      </c>
    </row>
    <row r="131" customFormat="false" ht="15" hidden="false" customHeight="false" outlineLevel="0" collapsed="false">
      <c r="A131" s="19"/>
      <c r="B131" s="17"/>
      <c r="C131" s="17"/>
      <c r="D131" s="18"/>
      <c r="E131" s="17"/>
      <c r="F131" s="22"/>
      <c r="G131" s="22"/>
      <c r="H131" s="22"/>
      <c r="I131" s="17"/>
      <c r="J131" s="20" t="str">
        <f aca="false">IF(B131="","",IFERROR(INDEX(Listas!$B$2:$B$40,MATCH(B131,Listas!$A$2:$A$40,0)),""))</f>
        <v/>
      </c>
    </row>
    <row r="132" customFormat="false" ht="15" hidden="false" customHeight="false" outlineLevel="0" collapsed="false">
      <c r="A132" s="19"/>
      <c r="B132" s="17"/>
      <c r="C132" s="17"/>
      <c r="D132" s="18"/>
      <c r="E132" s="17"/>
      <c r="F132" s="22"/>
      <c r="G132" s="22"/>
      <c r="H132" s="22"/>
      <c r="I132" s="17"/>
      <c r="J132" s="20" t="str">
        <f aca="false">IF(B132="","",IFERROR(INDEX(Listas!$B$2:$B$40,MATCH(B132,Listas!$A$2:$A$40,0)),""))</f>
        <v/>
      </c>
    </row>
    <row r="133" customFormat="false" ht="15" hidden="false" customHeight="false" outlineLevel="0" collapsed="false">
      <c r="A133" s="19"/>
      <c r="B133" s="17"/>
      <c r="C133" s="17"/>
      <c r="D133" s="18"/>
      <c r="E133" s="17"/>
      <c r="F133" s="22"/>
      <c r="G133" s="22"/>
      <c r="H133" s="22"/>
      <c r="I133" s="17"/>
      <c r="J133" s="20" t="str">
        <f aca="false">IF(B133="","",IFERROR(INDEX(Listas!$B$2:$B$40,MATCH(B133,Listas!$A$2:$A$40,0)),""))</f>
        <v/>
      </c>
    </row>
    <row r="134" customFormat="false" ht="15" hidden="false" customHeight="false" outlineLevel="0" collapsed="false">
      <c r="A134" s="19"/>
      <c r="B134" s="17"/>
      <c r="C134" s="17"/>
      <c r="D134" s="18"/>
      <c r="E134" s="17"/>
      <c r="F134" s="22"/>
      <c r="G134" s="22"/>
      <c r="H134" s="22"/>
      <c r="I134" s="17"/>
      <c r="J134" s="20" t="str">
        <f aca="false">IF(B134="","",IFERROR(INDEX(Listas!$B$2:$B$40,MATCH(B134,Listas!$A$2:$A$40,0)),""))</f>
        <v/>
      </c>
    </row>
    <row r="135" customFormat="false" ht="15" hidden="false" customHeight="false" outlineLevel="0" collapsed="false">
      <c r="A135" s="19"/>
      <c r="B135" s="17"/>
      <c r="C135" s="17"/>
      <c r="D135" s="18"/>
      <c r="E135" s="17"/>
      <c r="F135" s="22"/>
      <c r="G135" s="22"/>
      <c r="H135" s="22"/>
      <c r="I135" s="17"/>
      <c r="J135" s="20" t="str">
        <f aca="false">IF(B135="","",IFERROR(INDEX(Listas!$B$2:$B$40,MATCH(B135,Listas!$A$2:$A$40,0)),""))</f>
        <v/>
      </c>
    </row>
    <row r="136" customFormat="false" ht="15" hidden="false" customHeight="false" outlineLevel="0" collapsed="false">
      <c r="A136" s="19"/>
      <c r="B136" s="17"/>
      <c r="C136" s="17"/>
      <c r="D136" s="18"/>
      <c r="E136" s="17"/>
      <c r="F136" s="22"/>
      <c r="G136" s="22"/>
      <c r="H136" s="22"/>
      <c r="I136" s="17"/>
      <c r="J136" s="20" t="str">
        <f aca="false">IF(B136="","",IFERROR(INDEX(Listas!$B$2:$B$40,MATCH(B136,Listas!$A$2:$A$40,0)),""))</f>
        <v/>
      </c>
    </row>
    <row r="137" customFormat="false" ht="15" hidden="false" customHeight="false" outlineLevel="0" collapsed="false">
      <c r="A137" s="19"/>
      <c r="B137" s="17"/>
      <c r="C137" s="17"/>
      <c r="D137" s="18"/>
      <c r="E137" s="17"/>
      <c r="F137" s="22"/>
      <c r="G137" s="22"/>
      <c r="H137" s="22"/>
      <c r="I137" s="17"/>
      <c r="J137" s="20" t="str">
        <f aca="false">IF(B137="","",IFERROR(INDEX(Listas!$B$2:$B$40,MATCH(B137,Listas!$A$2:$A$40,0)),""))</f>
        <v/>
      </c>
    </row>
    <row r="138" customFormat="false" ht="15" hidden="false" customHeight="false" outlineLevel="0" collapsed="false">
      <c r="A138" s="19"/>
      <c r="B138" s="17"/>
      <c r="C138" s="17"/>
      <c r="D138" s="18"/>
      <c r="E138" s="17"/>
      <c r="F138" s="22"/>
      <c r="G138" s="22"/>
      <c r="H138" s="22"/>
      <c r="I138" s="17"/>
      <c r="J138" s="20" t="str">
        <f aca="false">IF(B138="","",IFERROR(INDEX(Listas!$B$2:$B$40,MATCH(B138,Listas!$A$2:$A$40,0)),""))</f>
        <v/>
      </c>
    </row>
    <row r="139" customFormat="false" ht="15" hidden="false" customHeight="false" outlineLevel="0" collapsed="false">
      <c r="A139" s="19"/>
      <c r="B139" s="17"/>
      <c r="C139" s="17"/>
      <c r="D139" s="18"/>
      <c r="E139" s="17"/>
      <c r="F139" s="22"/>
      <c r="G139" s="22"/>
      <c r="H139" s="22"/>
      <c r="I139" s="17"/>
      <c r="J139" s="20" t="str">
        <f aca="false">IF(B139="","",IFERROR(INDEX(Listas!$B$2:$B$40,MATCH(B139,Listas!$A$2:$A$40,0)),""))</f>
        <v/>
      </c>
    </row>
    <row r="140" customFormat="false" ht="15" hidden="false" customHeight="false" outlineLevel="0" collapsed="false">
      <c r="A140" s="19"/>
      <c r="B140" s="17"/>
      <c r="C140" s="17"/>
      <c r="D140" s="18"/>
      <c r="E140" s="17"/>
      <c r="F140" s="22"/>
      <c r="G140" s="22"/>
      <c r="H140" s="22"/>
      <c r="I140" s="17"/>
      <c r="J140" s="20" t="str">
        <f aca="false">IF(B140="","",IFERROR(INDEX(Listas!$B$2:$B$40,MATCH(B140,Listas!$A$2:$A$40,0)),""))</f>
        <v/>
      </c>
    </row>
    <row r="141" customFormat="false" ht="15" hidden="false" customHeight="false" outlineLevel="0" collapsed="false">
      <c r="A141" s="19"/>
      <c r="B141" s="17"/>
      <c r="C141" s="17"/>
      <c r="D141" s="18"/>
      <c r="E141" s="17"/>
      <c r="F141" s="22"/>
      <c r="G141" s="22"/>
      <c r="H141" s="22"/>
      <c r="I141" s="17"/>
      <c r="J141" s="20" t="str">
        <f aca="false">IF(B141="","",IFERROR(INDEX(Listas!$B$2:$B$40,MATCH(B141,Listas!$A$2:$A$40,0)),""))</f>
        <v/>
      </c>
    </row>
    <row r="142" customFormat="false" ht="15" hidden="false" customHeight="false" outlineLevel="0" collapsed="false">
      <c r="A142" s="19"/>
      <c r="B142" s="17"/>
      <c r="C142" s="17"/>
      <c r="D142" s="18"/>
      <c r="E142" s="17"/>
      <c r="F142" s="22"/>
      <c r="G142" s="22"/>
      <c r="H142" s="22"/>
      <c r="I142" s="17"/>
      <c r="J142" s="20" t="str">
        <f aca="false">IF(B142="","",IFERROR(INDEX(Listas!$B$2:$B$40,MATCH(B142,Listas!$A$2:$A$40,0)),""))</f>
        <v/>
      </c>
    </row>
    <row r="143" customFormat="false" ht="15" hidden="false" customHeight="false" outlineLevel="0" collapsed="false">
      <c r="A143" s="19"/>
      <c r="B143" s="17"/>
      <c r="C143" s="17"/>
      <c r="D143" s="18"/>
      <c r="E143" s="17"/>
      <c r="F143" s="22"/>
      <c r="G143" s="22"/>
      <c r="H143" s="22"/>
      <c r="I143" s="17"/>
      <c r="J143" s="20" t="str">
        <f aca="false">IF(B143="","",IFERROR(INDEX(Listas!$B$2:$B$40,MATCH(B143,Listas!$A$2:$A$40,0)),""))</f>
        <v/>
      </c>
    </row>
    <row r="144" customFormat="false" ht="15" hidden="false" customHeight="false" outlineLevel="0" collapsed="false">
      <c r="A144" s="19"/>
      <c r="B144" s="17"/>
      <c r="C144" s="17"/>
      <c r="D144" s="18"/>
      <c r="E144" s="17"/>
      <c r="F144" s="22"/>
      <c r="G144" s="22"/>
      <c r="H144" s="22"/>
      <c r="I144" s="17"/>
      <c r="J144" s="20" t="str">
        <f aca="false">IF(B144="","",IFERROR(INDEX(Listas!$B$2:$B$40,MATCH(B144,Listas!$A$2:$A$40,0)),""))</f>
        <v/>
      </c>
    </row>
    <row r="145" customFormat="false" ht="15" hidden="false" customHeight="false" outlineLevel="0" collapsed="false">
      <c r="A145" s="19"/>
      <c r="B145" s="17"/>
      <c r="C145" s="17"/>
      <c r="D145" s="18"/>
      <c r="E145" s="17"/>
      <c r="F145" s="22"/>
      <c r="G145" s="22"/>
      <c r="H145" s="22"/>
      <c r="I145" s="17"/>
      <c r="J145" s="20" t="str">
        <f aca="false">IF(B145="","",IFERROR(INDEX(Listas!$B$2:$B$40,MATCH(B145,Listas!$A$2:$A$40,0)),""))</f>
        <v/>
      </c>
    </row>
    <row r="146" customFormat="false" ht="15" hidden="false" customHeight="false" outlineLevel="0" collapsed="false">
      <c r="A146" s="19"/>
      <c r="B146" s="17"/>
      <c r="C146" s="17"/>
      <c r="D146" s="18"/>
      <c r="E146" s="17"/>
      <c r="F146" s="22"/>
      <c r="G146" s="22"/>
      <c r="H146" s="22"/>
      <c r="I146" s="17"/>
      <c r="J146" s="20" t="str">
        <f aca="false">IF(B146="","",IFERROR(INDEX(Listas!$B$2:$B$40,MATCH(B146,Listas!$A$2:$A$40,0)),""))</f>
        <v/>
      </c>
    </row>
    <row r="147" customFormat="false" ht="15" hidden="false" customHeight="false" outlineLevel="0" collapsed="false">
      <c r="A147" s="19"/>
      <c r="B147" s="17"/>
      <c r="C147" s="17"/>
      <c r="D147" s="18"/>
      <c r="E147" s="17"/>
      <c r="F147" s="22"/>
      <c r="G147" s="22"/>
      <c r="H147" s="22"/>
      <c r="I147" s="17"/>
      <c r="J147" s="20" t="str">
        <f aca="false">IF(B147="","",IFERROR(INDEX(Listas!$B$2:$B$40,MATCH(B147,Listas!$A$2:$A$40,0)),""))</f>
        <v/>
      </c>
    </row>
    <row r="148" customFormat="false" ht="15" hidden="false" customHeight="false" outlineLevel="0" collapsed="false">
      <c r="A148" s="19"/>
      <c r="B148" s="17"/>
      <c r="C148" s="17"/>
      <c r="D148" s="18"/>
      <c r="E148" s="17"/>
      <c r="F148" s="22"/>
      <c r="G148" s="22"/>
      <c r="H148" s="22"/>
      <c r="I148" s="17"/>
      <c r="J148" s="20" t="str">
        <f aca="false">IF(B148="","",IFERROR(INDEX(Listas!$B$2:$B$40,MATCH(B148,Listas!$A$2:$A$40,0)),""))</f>
        <v/>
      </c>
    </row>
    <row r="149" customFormat="false" ht="15" hidden="false" customHeight="false" outlineLevel="0" collapsed="false">
      <c r="A149" s="19"/>
      <c r="B149" s="17"/>
      <c r="C149" s="17"/>
      <c r="D149" s="18"/>
      <c r="E149" s="17"/>
      <c r="F149" s="22"/>
      <c r="G149" s="22"/>
      <c r="H149" s="22"/>
      <c r="I149" s="17"/>
      <c r="J149" s="20" t="str">
        <f aca="false">IF(B149="","",IFERROR(INDEX(Listas!$B$2:$B$40,MATCH(B149,Listas!$A$2:$A$40,0)),""))</f>
        <v/>
      </c>
    </row>
    <row r="150" customFormat="false" ht="15" hidden="false" customHeight="false" outlineLevel="0" collapsed="false">
      <c r="A150" s="19"/>
      <c r="B150" s="17"/>
      <c r="C150" s="17"/>
      <c r="D150" s="18"/>
      <c r="E150" s="17"/>
      <c r="F150" s="22"/>
      <c r="G150" s="22"/>
      <c r="H150" s="22"/>
      <c r="I150" s="17"/>
      <c r="J150" s="20" t="str">
        <f aca="false">IF(B150="","",IFERROR(INDEX(Listas!$B$2:$B$40,MATCH(B150,Listas!$A$2:$A$40,0)),""))</f>
        <v/>
      </c>
    </row>
    <row r="151" customFormat="false" ht="15" hidden="false" customHeight="false" outlineLevel="0" collapsed="false">
      <c r="A151" s="19"/>
      <c r="B151" s="17"/>
      <c r="C151" s="17"/>
      <c r="D151" s="18"/>
      <c r="E151" s="17"/>
      <c r="F151" s="22"/>
      <c r="G151" s="22"/>
      <c r="H151" s="22"/>
      <c r="I151" s="17"/>
      <c r="J151" s="20" t="str">
        <f aca="false">IF(B151="","",IFERROR(INDEX(Listas!$B$2:$B$40,MATCH(B151,Listas!$A$2:$A$40,0)),""))</f>
        <v/>
      </c>
    </row>
    <row r="152" customFormat="false" ht="15" hidden="false" customHeight="false" outlineLevel="0" collapsed="false">
      <c r="A152" s="19"/>
      <c r="B152" s="17"/>
      <c r="C152" s="17"/>
      <c r="D152" s="18"/>
      <c r="E152" s="17"/>
      <c r="F152" s="22"/>
      <c r="G152" s="22"/>
      <c r="H152" s="22"/>
      <c r="I152" s="17"/>
      <c r="J152" s="20" t="str">
        <f aca="false">IF(B152="","",IFERROR(INDEX(Listas!$B$2:$B$40,MATCH(B152,Listas!$A$2:$A$40,0)),""))</f>
        <v/>
      </c>
    </row>
    <row r="153" customFormat="false" ht="15" hidden="false" customHeight="false" outlineLevel="0" collapsed="false">
      <c r="A153" s="19"/>
      <c r="B153" s="17"/>
      <c r="C153" s="17"/>
      <c r="D153" s="18"/>
      <c r="E153" s="17"/>
      <c r="F153" s="22"/>
      <c r="G153" s="22"/>
      <c r="H153" s="22"/>
      <c r="I153" s="17"/>
      <c r="J153" s="20" t="str">
        <f aca="false">IF(B153="","",IFERROR(INDEX(Listas!$B$2:$B$40,MATCH(B153,Listas!$A$2:$A$40,0)),""))</f>
        <v/>
      </c>
    </row>
    <row r="154" customFormat="false" ht="15" hidden="false" customHeight="false" outlineLevel="0" collapsed="false">
      <c r="A154" s="19"/>
      <c r="B154" s="17"/>
      <c r="C154" s="17"/>
      <c r="D154" s="18"/>
      <c r="E154" s="17"/>
      <c r="F154" s="22"/>
      <c r="G154" s="22"/>
      <c r="H154" s="22"/>
      <c r="I154" s="17"/>
      <c r="J154" s="20" t="str">
        <f aca="false">IF(B154="","",IFERROR(INDEX(Listas!$B$2:$B$40,MATCH(B154,Listas!$A$2:$A$40,0)),""))</f>
        <v/>
      </c>
    </row>
    <row r="155" customFormat="false" ht="15" hidden="false" customHeight="false" outlineLevel="0" collapsed="false">
      <c r="A155" s="19"/>
      <c r="B155" s="17"/>
      <c r="C155" s="17"/>
      <c r="D155" s="18"/>
      <c r="E155" s="17"/>
      <c r="F155" s="22"/>
      <c r="G155" s="22"/>
      <c r="H155" s="22"/>
      <c r="I155" s="17"/>
      <c r="J155" s="20" t="str">
        <f aca="false">IF(B155="","",IFERROR(INDEX(Listas!$B$2:$B$40,MATCH(B155,Listas!$A$2:$A$40,0)),""))</f>
        <v/>
      </c>
    </row>
    <row r="156" customFormat="false" ht="15" hidden="false" customHeight="false" outlineLevel="0" collapsed="false">
      <c r="A156" s="19"/>
      <c r="B156" s="17"/>
      <c r="C156" s="17"/>
      <c r="D156" s="18"/>
      <c r="E156" s="17"/>
      <c r="F156" s="22"/>
      <c r="G156" s="22"/>
      <c r="H156" s="22"/>
      <c r="I156" s="17"/>
      <c r="J156" s="20" t="str">
        <f aca="false">IF(B156="","",IFERROR(INDEX(Listas!$B$2:$B$40,MATCH(B156,Listas!$A$2:$A$40,0)),""))</f>
        <v/>
      </c>
    </row>
    <row r="157" customFormat="false" ht="15" hidden="false" customHeight="false" outlineLevel="0" collapsed="false">
      <c r="A157" s="19"/>
      <c r="B157" s="17"/>
      <c r="C157" s="17"/>
      <c r="D157" s="18"/>
      <c r="E157" s="17"/>
      <c r="F157" s="22"/>
      <c r="G157" s="22"/>
      <c r="H157" s="22"/>
      <c r="I157" s="17"/>
      <c r="J157" s="20" t="str">
        <f aca="false">IF(B157="","",IFERROR(INDEX(Listas!$B$2:$B$40,MATCH(B157,Listas!$A$2:$A$40,0)),""))</f>
        <v/>
      </c>
    </row>
    <row r="158" customFormat="false" ht="15" hidden="false" customHeight="false" outlineLevel="0" collapsed="false">
      <c r="A158" s="19"/>
      <c r="B158" s="17"/>
      <c r="C158" s="17"/>
      <c r="D158" s="18"/>
      <c r="E158" s="17"/>
      <c r="F158" s="22"/>
      <c r="G158" s="22"/>
      <c r="H158" s="22"/>
      <c r="I158" s="17"/>
      <c r="J158" s="20" t="str">
        <f aca="false">IF(B158="","",IFERROR(INDEX(Listas!$B$2:$B$40,MATCH(B158,Listas!$A$2:$A$40,0)),""))</f>
        <v/>
      </c>
    </row>
    <row r="159" customFormat="false" ht="15" hidden="false" customHeight="false" outlineLevel="0" collapsed="false">
      <c r="A159" s="19"/>
      <c r="B159" s="17"/>
      <c r="C159" s="17"/>
      <c r="D159" s="18"/>
      <c r="E159" s="17"/>
      <c r="F159" s="22"/>
      <c r="G159" s="22"/>
      <c r="H159" s="22"/>
      <c r="I159" s="17"/>
      <c r="J159" s="20" t="str">
        <f aca="false">IF(B159="","",IFERROR(INDEX(Listas!$B$2:$B$40,MATCH(B159,Listas!$A$2:$A$40,0)),""))</f>
        <v/>
      </c>
    </row>
    <row r="160" customFormat="false" ht="15" hidden="false" customHeight="false" outlineLevel="0" collapsed="false">
      <c r="A160" s="19"/>
      <c r="B160" s="17"/>
      <c r="C160" s="17"/>
      <c r="D160" s="18"/>
      <c r="E160" s="17"/>
      <c r="F160" s="22"/>
      <c r="G160" s="22"/>
      <c r="H160" s="22"/>
      <c r="I160" s="17"/>
      <c r="J160" s="20" t="str">
        <f aca="false">IF(B160="","",IFERROR(INDEX(Listas!$B$2:$B$40,MATCH(B160,Listas!$A$2:$A$40,0)),""))</f>
        <v/>
      </c>
    </row>
    <row r="161" customFormat="false" ht="15" hidden="false" customHeight="false" outlineLevel="0" collapsed="false">
      <c r="A161" s="19"/>
      <c r="B161" s="17"/>
      <c r="C161" s="17"/>
      <c r="D161" s="18"/>
      <c r="E161" s="17"/>
      <c r="F161" s="22"/>
      <c r="G161" s="22"/>
      <c r="H161" s="22"/>
      <c r="I161" s="17"/>
      <c r="J161" s="20" t="str">
        <f aca="false">IF(B161="","",IFERROR(INDEX(Listas!$B$2:$B$40,MATCH(B161,Listas!$A$2:$A$40,0)),""))</f>
        <v/>
      </c>
    </row>
    <row r="162" customFormat="false" ht="15" hidden="false" customHeight="false" outlineLevel="0" collapsed="false">
      <c r="A162" s="19"/>
      <c r="B162" s="17"/>
      <c r="C162" s="17"/>
      <c r="D162" s="18"/>
      <c r="E162" s="17"/>
      <c r="F162" s="22"/>
      <c r="G162" s="22"/>
      <c r="H162" s="22"/>
      <c r="I162" s="17"/>
      <c r="J162" s="20" t="str">
        <f aca="false">IF(B162="","",IFERROR(INDEX(Listas!$B$2:$B$40,MATCH(B162,Listas!$A$2:$A$40,0)),""))</f>
        <v/>
      </c>
    </row>
    <row r="163" customFormat="false" ht="15" hidden="false" customHeight="false" outlineLevel="0" collapsed="false">
      <c r="A163" s="19"/>
      <c r="B163" s="17"/>
      <c r="C163" s="17"/>
      <c r="D163" s="18"/>
      <c r="E163" s="17"/>
      <c r="F163" s="22"/>
      <c r="G163" s="22"/>
      <c r="H163" s="22"/>
      <c r="I163" s="17"/>
      <c r="J163" s="20" t="str">
        <f aca="false">IF(B163="","",IFERROR(INDEX(Listas!$B$2:$B$40,MATCH(B163,Listas!$A$2:$A$40,0)),""))</f>
        <v/>
      </c>
    </row>
    <row r="164" customFormat="false" ht="15" hidden="false" customHeight="false" outlineLevel="0" collapsed="false">
      <c r="A164" s="19"/>
      <c r="B164" s="17"/>
      <c r="C164" s="17"/>
      <c r="D164" s="18"/>
      <c r="E164" s="17"/>
      <c r="F164" s="22"/>
      <c r="G164" s="22"/>
      <c r="H164" s="22"/>
      <c r="I164" s="17"/>
      <c r="J164" s="20" t="str">
        <f aca="false">IF(B164="","",IFERROR(INDEX(Listas!$B$2:$B$40,MATCH(B164,Listas!$A$2:$A$40,0)),""))</f>
        <v/>
      </c>
    </row>
    <row r="165" customFormat="false" ht="15" hidden="false" customHeight="false" outlineLevel="0" collapsed="false">
      <c r="A165" s="19"/>
      <c r="B165" s="17"/>
      <c r="C165" s="17"/>
      <c r="D165" s="18"/>
      <c r="E165" s="17"/>
      <c r="F165" s="22"/>
      <c r="G165" s="22"/>
      <c r="H165" s="22"/>
      <c r="I165" s="17"/>
      <c r="J165" s="20" t="str">
        <f aca="false">IF(B165="","",IFERROR(INDEX(Listas!$B$2:$B$40,MATCH(B165,Listas!$A$2:$A$40,0)),""))</f>
        <v/>
      </c>
    </row>
    <row r="166" customFormat="false" ht="15" hidden="false" customHeight="false" outlineLevel="0" collapsed="false">
      <c r="A166" s="19"/>
      <c r="B166" s="17"/>
      <c r="C166" s="17"/>
      <c r="D166" s="18"/>
      <c r="E166" s="17"/>
      <c r="F166" s="22"/>
      <c r="G166" s="22"/>
      <c r="H166" s="22"/>
      <c r="I166" s="17"/>
      <c r="J166" s="20" t="str">
        <f aca="false">IF(B166="","",IFERROR(INDEX(Listas!$B$2:$B$40,MATCH(B166,Listas!$A$2:$A$40,0)),""))</f>
        <v/>
      </c>
    </row>
    <row r="167" customFormat="false" ht="15" hidden="false" customHeight="false" outlineLevel="0" collapsed="false">
      <c r="A167" s="19"/>
      <c r="B167" s="17"/>
      <c r="C167" s="17"/>
      <c r="D167" s="18"/>
      <c r="E167" s="17"/>
      <c r="F167" s="22"/>
      <c r="G167" s="22"/>
      <c r="H167" s="22"/>
      <c r="I167" s="17"/>
      <c r="J167" s="20" t="str">
        <f aca="false">IF(B167="","",IFERROR(INDEX(Listas!$B$2:$B$40,MATCH(B167,Listas!$A$2:$A$40,0)),""))</f>
        <v/>
      </c>
    </row>
    <row r="168" customFormat="false" ht="15" hidden="false" customHeight="false" outlineLevel="0" collapsed="false">
      <c r="A168" s="19"/>
      <c r="B168" s="17"/>
      <c r="C168" s="17"/>
      <c r="D168" s="18"/>
      <c r="E168" s="17"/>
      <c r="F168" s="22"/>
      <c r="G168" s="22"/>
      <c r="H168" s="22"/>
      <c r="I168" s="17"/>
      <c r="J168" s="20" t="str">
        <f aca="false">IF(B168="","",IFERROR(INDEX(Listas!$B$2:$B$40,MATCH(B168,Listas!$A$2:$A$40,0)),""))</f>
        <v/>
      </c>
    </row>
    <row r="169" customFormat="false" ht="15" hidden="false" customHeight="false" outlineLevel="0" collapsed="false">
      <c r="A169" s="19"/>
      <c r="B169" s="17"/>
      <c r="C169" s="17"/>
      <c r="D169" s="18"/>
      <c r="E169" s="17"/>
      <c r="F169" s="22"/>
      <c r="G169" s="22"/>
      <c r="H169" s="22"/>
      <c r="I169" s="17"/>
      <c r="J169" s="20" t="str">
        <f aca="false">IF(B169="","",IFERROR(INDEX(Listas!$B$2:$B$40,MATCH(B169,Listas!$A$2:$A$40,0)),""))</f>
        <v/>
      </c>
    </row>
    <row r="170" customFormat="false" ht="15" hidden="false" customHeight="false" outlineLevel="0" collapsed="false">
      <c r="A170" s="19"/>
      <c r="B170" s="17"/>
      <c r="C170" s="17"/>
      <c r="D170" s="18"/>
      <c r="E170" s="17"/>
      <c r="F170" s="22"/>
      <c r="G170" s="22"/>
      <c r="H170" s="22"/>
      <c r="I170" s="17"/>
      <c r="J170" s="20" t="str">
        <f aca="false">IF(B170="","",IFERROR(INDEX(Listas!$B$2:$B$40,MATCH(B170,Listas!$A$2:$A$40,0)),""))</f>
        <v/>
      </c>
    </row>
    <row r="171" customFormat="false" ht="15" hidden="false" customHeight="false" outlineLevel="0" collapsed="false">
      <c r="A171" s="19"/>
      <c r="B171" s="17"/>
      <c r="C171" s="17"/>
      <c r="D171" s="18"/>
      <c r="E171" s="17"/>
      <c r="F171" s="22"/>
      <c r="G171" s="22"/>
      <c r="H171" s="22"/>
      <c r="I171" s="17"/>
      <c r="J171" s="20" t="str">
        <f aca="false">IF(B171="","",IFERROR(INDEX(Listas!$B$2:$B$40,MATCH(B171,Listas!$A$2:$A$40,0)),""))</f>
        <v/>
      </c>
    </row>
    <row r="172" customFormat="false" ht="15" hidden="false" customHeight="false" outlineLevel="0" collapsed="false">
      <c r="A172" s="19"/>
      <c r="B172" s="17"/>
      <c r="C172" s="17"/>
      <c r="D172" s="18"/>
      <c r="E172" s="17"/>
      <c r="F172" s="22"/>
      <c r="G172" s="22"/>
      <c r="H172" s="22"/>
      <c r="I172" s="17"/>
      <c r="J172" s="20" t="str">
        <f aca="false">IF(B172="","",IFERROR(INDEX(Listas!$B$2:$B$40,MATCH(B172,Listas!$A$2:$A$40,0)),""))</f>
        <v/>
      </c>
    </row>
    <row r="173" customFormat="false" ht="15" hidden="false" customHeight="false" outlineLevel="0" collapsed="false">
      <c r="A173" s="19"/>
      <c r="B173" s="17"/>
      <c r="C173" s="17"/>
      <c r="D173" s="18"/>
      <c r="E173" s="17"/>
      <c r="F173" s="22"/>
      <c r="G173" s="22"/>
      <c r="H173" s="22"/>
      <c r="I173" s="17"/>
      <c r="J173" s="20" t="str">
        <f aca="false">IF(B173="","",IFERROR(INDEX(Listas!$B$2:$B$40,MATCH(B173,Listas!$A$2:$A$40,0)),""))</f>
        <v/>
      </c>
    </row>
    <row r="174" customFormat="false" ht="15" hidden="false" customHeight="false" outlineLevel="0" collapsed="false">
      <c r="A174" s="19"/>
      <c r="B174" s="17"/>
      <c r="C174" s="17"/>
      <c r="D174" s="18"/>
      <c r="E174" s="17"/>
      <c r="F174" s="22"/>
      <c r="G174" s="22"/>
      <c r="H174" s="22"/>
      <c r="I174" s="17"/>
      <c r="J174" s="20" t="str">
        <f aca="false">IF(B174="","",IFERROR(INDEX(Listas!$B$2:$B$40,MATCH(B174,Listas!$A$2:$A$40,0)),""))</f>
        <v/>
      </c>
    </row>
    <row r="175" customFormat="false" ht="15" hidden="false" customHeight="false" outlineLevel="0" collapsed="false">
      <c r="A175" s="19"/>
      <c r="B175" s="17"/>
      <c r="C175" s="17"/>
      <c r="D175" s="18"/>
      <c r="E175" s="17"/>
      <c r="F175" s="22"/>
      <c r="G175" s="22"/>
      <c r="H175" s="22"/>
      <c r="I175" s="17"/>
      <c r="J175" s="20" t="str">
        <f aca="false">IF(B175="","",IFERROR(INDEX(Listas!$B$2:$B$40,MATCH(B175,Listas!$A$2:$A$40,0)),""))</f>
        <v/>
      </c>
    </row>
    <row r="176" customFormat="false" ht="15" hidden="false" customHeight="false" outlineLevel="0" collapsed="false">
      <c r="A176" s="19"/>
      <c r="B176" s="17"/>
      <c r="C176" s="17"/>
      <c r="D176" s="18"/>
      <c r="E176" s="17"/>
      <c r="F176" s="22"/>
      <c r="G176" s="22"/>
      <c r="H176" s="22"/>
      <c r="I176" s="17"/>
      <c r="J176" s="20" t="str">
        <f aca="false">IF(B176="","",IFERROR(INDEX(Listas!$B$2:$B$40,MATCH(B176,Listas!$A$2:$A$40,0)),""))</f>
        <v/>
      </c>
    </row>
    <row r="177" customFormat="false" ht="15" hidden="false" customHeight="false" outlineLevel="0" collapsed="false">
      <c r="A177" s="19"/>
      <c r="B177" s="17"/>
      <c r="C177" s="17"/>
      <c r="D177" s="18"/>
      <c r="E177" s="17"/>
      <c r="F177" s="22"/>
      <c r="G177" s="22"/>
      <c r="H177" s="22"/>
      <c r="I177" s="17"/>
      <c r="J177" s="20" t="str">
        <f aca="false">IF(B177="","",IFERROR(INDEX(Listas!$B$2:$B$40,MATCH(B177,Listas!$A$2:$A$40,0)),""))</f>
        <v/>
      </c>
    </row>
    <row r="178" customFormat="false" ht="15" hidden="false" customHeight="false" outlineLevel="0" collapsed="false">
      <c r="A178" s="19"/>
      <c r="B178" s="17"/>
      <c r="C178" s="17"/>
      <c r="D178" s="18"/>
      <c r="E178" s="17"/>
      <c r="F178" s="22"/>
      <c r="G178" s="22"/>
      <c r="H178" s="22"/>
      <c r="I178" s="17"/>
      <c r="J178" s="20" t="str">
        <f aca="false">IF(B178="","",IFERROR(INDEX(Listas!$B$2:$B$40,MATCH(B178,Listas!$A$2:$A$40,0)),""))</f>
        <v/>
      </c>
    </row>
    <row r="179" customFormat="false" ht="15" hidden="false" customHeight="false" outlineLevel="0" collapsed="false">
      <c r="A179" s="19"/>
      <c r="B179" s="17"/>
      <c r="C179" s="17"/>
      <c r="D179" s="18"/>
      <c r="E179" s="17"/>
      <c r="F179" s="22"/>
      <c r="G179" s="22"/>
      <c r="H179" s="22"/>
      <c r="I179" s="17"/>
      <c r="J179" s="20" t="str">
        <f aca="false">IF(B179="","",IFERROR(INDEX(Listas!$B$2:$B$40,MATCH(B179,Listas!$A$2:$A$40,0)),""))</f>
        <v/>
      </c>
    </row>
    <row r="180" customFormat="false" ht="15" hidden="false" customHeight="false" outlineLevel="0" collapsed="false">
      <c r="A180" s="19"/>
      <c r="B180" s="17"/>
      <c r="C180" s="17"/>
      <c r="D180" s="18"/>
      <c r="E180" s="17"/>
      <c r="F180" s="22"/>
      <c r="G180" s="22"/>
      <c r="H180" s="22"/>
      <c r="I180" s="17"/>
      <c r="J180" s="20" t="str">
        <f aca="false">IF(B180="","",IFERROR(INDEX(Listas!$B$2:$B$40,MATCH(B180,Listas!$A$2:$A$40,0)),""))</f>
        <v/>
      </c>
    </row>
    <row r="181" customFormat="false" ht="15" hidden="false" customHeight="false" outlineLevel="0" collapsed="false">
      <c r="A181" s="19"/>
      <c r="B181" s="17"/>
      <c r="C181" s="17"/>
      <c r="D181" s="18"/>
      <c r="E181" s="17"/>
      <c r="F181" s="22"/>
      <c r="G181" s="22"/>
      <c r="H181" s="22"/>
      <c r="I181" s="17"/>
      <c r="J181" s="20" t="str">
        <f aca="false">IF(B181="","",IFERROR(INDEX(Listas!$B$2:$B$40,MATCH(B181,Listas!$A$2:$A$40,0)),""))</f>
        <v/>
      </c>
    </row>
    <row r="182" customFormat="false" ht="15" hidden="false" customHeight="false" outlineLevel="0" collapsed="false">
      <c r="A182" s="19"/>
      <c r="B182" s="17"/>
      <c r="C182" s="17"/>
      <c r="D182" s="18"/>
      <c r="E182" s="17"/>
      <c r="F182" s="22"/>
      <c r="G182" s="22"/>
      <c r="H182" s="22"/>
      <c r="I182" s="17"/>
      <c r="J182" s="20" t="str">
        <f aca="false">IF(B182="","",IFERROR(INDEX(Listas!$B$2:$B$40,MATCH(B182,Listas!$A$2:$A$40,0)),""))</f>
        <v/>
      </c>
    </row>
    <row r="183" customFormat="false" ht="15" hidden="false" customHeight="false" outlineLevel="0" collapsed="false">
      <c r="A183" s="19"/>
      <c r="B183" s="17"/>
      <c r="C183" s="17"/>
      <c r="D183" s="18"/>
      <c r="E183" s="17"/>
      <c r="F183" s="22"/>
      <c r="G183" s="22"/>
      <c r="H183" s="22"/>
      <c r="I183" s="17"/>
      <c r="J183" s="20" t="str">
        <f aca="false">IF(B183="","",IFERROR(INDEX(Listas!$B$2:$B$40,MATCH(B183,Listas!$A$2:$A$40,0)),""))</f>
        <v/>
      </c>
    </row>
    <row r="184" customFormat="false" ht="15" hidden="false" customHeight="false" outlineLevel="0" collapsed="false">
      <c r="A184" s="19"/>
      <c r="B184" s="17"/>
      <c r="C184" s="17"/>
      <c r="D184" s="18"/>
      <c r="E184" s="17"/>
      <c r="F184" s="22"/>
      <c r="G184" s="22"/>
      <c r="H184" s="22"/>
      <c r="I184" s="17"/>
      <c r="J184" s="20" t="str">
        <f aca="false">IF(B184="","",IFERROR(INDEX(Listas!$B$2:$B$40,MATCH(B184,Listas!$A$2:$A$40,0)),""))</f>
        <v/>
      </c>
    </row>
    <row r="185" customFormat="false" ht="15" hidden="false" customHeight="false" outlineLevel="0" collapsed="false">
      <c r="A185" s="19"/>
      <c r="B185" s="17"/>
      <c r="C185" s="17"/>
      <c r="D185" s="18"/>
      <c r="E185" s="17"/>
      <c r="F185" s="22"/>
      <c r="G185" s="22"/>
      <c r="H185" s="22"/>
      <c r="I185" s="17"/>
      <c r="J185" s="20" t="str">
        <f aca="false">IF(B185="","",IFERROR(INDEX(Listas!$B$2:$B$40,MATCH(B185,Listas!$A$2:$A$40,0)),""))</f>
        <v/>
      </c>
    </row>
    <row r="186" customFormat="false" ht="15" hidden="false" customHeight="false" outlineLevel="0" collapsed="false">
      <c r="A186" s="19"/>
      <c r="B186" s="17"/>
      <c r="C186" s="17"/>
      <c r="D186" s="18"/>
      <c r="E186" s="17"/>
      <c r="F186" s="22"/>
      <c r="G186" s="22"/>
      <c r="H186" s="22"/>
      <c r="I186" s="17"/>
      <c r="J186" s="20" t="str">
        <f aca="false">IF(B186="","",IFERROR(INDEX(Listas!$B$2:$B$40,MATCH(B186,Listas!$A$2:$A$40,0)),""))</f>
        <v/>
      </c>
    </row>
    <row r="187" customFormat="false" ht="15" hidden="false" customHeight="false" outlineLevel="0" collapsed="false">
      <c r="A187" s="19"/>
      <c r="B187" s="17"/>
      <c r="C187" s="17"/>
      <c r="D187" s="18"/>
      <c r="E187" s="17"/>
      <c r="F187" s="22"/>
      <c r="G187" s="22"/>
      <c r="H187" s="22"/>
      <c r="I187" s="17"/>
      <c r="J187" s="20" t="str">
        <f aca="false">IF(B187="","",IFERROR(INDEX(Listas!$B$2:$B$40,MATCH(B187,Listas!$A$2:$A$40,0)),""))</f>
        <v/>
      </c>
    </row>
    <row r="188" customFormat="false" ht="15" hidden="false" customHeight="false" outlineLevel="0" collapsed="false">
      <c r="A188" s="19"/>
      <c r="B188" s="17"/>
      <c r="C188" s="17"/>
      <c r="D188" s="18"/>
      <c r="E188" s="17"/>
      <c r="F188" s="22"/>
      <c r="G188" s="22"/>
      <c r="H188" s="22"/>
      <c r="I188" s="17"/>
      <c r="J188" s="20" t="str">
        <f aca="false">IF(B188="","",IFERROR(INDEX(Listas!$B$2:$B$40,MATCH(B188,Listas!$A$2:$A$40,0)),""))</f>
        <v/>
      </c>
    </row>
    <row r="189" customFormat="false" ht="15" hidden="false" customHeight="false" outlineLevel="0" collapsed="false">
      <c r="A189" s="19"/>
      <c r="B189" s="17"/>
      <c r="C189" s="17"/>
      <c r="D189" s="18"/>
      <c r="E189" s="17"/>
      <c r="F189" s="22"/>
      <c r="G189" s="22"/>
      <c r="H189" s="22"/>
      <c r="I189" s="17"/>
      <c r="J189" s="20" t="str">
        <f aca="false">IF(B189="","",IFERROR(INDEX(Listas!$B$2:$B$40,MATCH(B189,Listas!$A$2:$A$40,0)),""))</f>
        <v/>
      </c>
    </row>
    <row r="190" customFormat="false" ht="15" hidden="false" customHeight="false" outlineLevel="0" collapsed="false">
      <c r="A190" s="19"/>
      <c r="B190" s="17"/>
      <c r="C190" s="17"/>
      <c r="D190" s="18"/>
      <c r="E190" s="17"/>
      <c r="F190" s="22"/>
      <c r="G190" s="22"/>
      <c r="H190" s="22"/>
      <c r="I190" s="17"/>
      <c r="J190" s="20" t="str">
        <f aca="false">IF(B190="","",IFERROR(INDEX(Listas!$B$2:$B$40,MATCH(B190,Listas!$A$2:$A$40,0)),""))</f>
        <v/>
      </c>
    </row>
    <row r="191" customFormat="false" ht="15" hidden="false" customHeight="false" outlineLevel="0" collapsed="false">
      <c r="A191" s="19"/>
      <c r="B191" s="17"/>
      <c r="C191" s="17"/>
      <c r="D191" s="18"/>
      <c r="E191" s="17"/>
      <c r="F191" s="22"/>
      <c r="G191" s="22"/>
      <c r="H191" s="22"/>
      <c r="I191" s="17"/>
      <c r="J191" s="20" t="str">
        <f aca="false">IF(B191="","",IFERROR(INDEX(Listas!$B$2:$B$40,MATCH(B191,Listas!$A$2:$A$40,0)),""))</f>
        <v/>
      </c>
    </row>
    <row r="192" customFormat="false" ht="15" hidden="false" customHeight="false" outlineLevel="0" collapsed="false">
      <c r="A192" s="19"/>
      <c r="B192" s="17"/>
      <c r="C192" s="17"/>
      <c r="D192" s="18"/>
      <c r="E192" s="17"/>
      <c r="F192" s="22"/>
      <c r="G192" s="22"/>
      <c r="H192" s="22"/>
      <c r="I192" s="17"/>
      <c r="J192" s="20" t="str">
        <f aca="false">IF(B192="","",IFERROR(INDEX(Listas!$B$2:$B$40,MATCH(B192,Listas!$A$2:$A$40,0)),""))</f>
        <v/>
      </c>
    </row>
    <row r="193" customFormat="false" ht="15" hidden="false" customHeight="false" outlineLevel="0" collapsed="false">
      <c r="A193" s="19"/>
      <c r="B193" s="17"/>
      <c r="C193" s="17"/>
      <c r="D193" s="18"/>
      <c r="E193" s="17"/>
      <c r="F193" s="22"/>
      <c r="G193" s="22"/>
      <c r="H193" s="22"/>
      <c r="I193" s="17"/>
      <c r="J193" s="20" t="str">
        <f aca="false">IF(B193="","",IFERROR(INDEX(Listas!$B$2:$B$40,MATCH(B193,Listas!$A$2:$A$40,0)),""))</f>
        <v/>
      </c>
    </row>
    <row r="194" customFormat="false" ht="15" hidden="false" customHeight="false" outlineLevel="0" collapsed="false">
      <c r="A194" s="19"/>
      <c r="B194" s="17"/>
      <c r="C194" s="17"/>
      <c r="D194" s="18"/>
      <c r="E194" s="17"/>
      <c r="F194" s="22"/>
      <c r="G194" s="22"/>
      <c r="H194" s="22"/>
      <c r="I194" s="17"/>
      <c r="J194" s="20" t="str">
        <f aca="false">IF(B194="","",IFERROR(INDEX(Listas!$B$2:$B$40,MATCH(B194,Listas!$A$2:$A$40,0)),""))</f>
        <v/>
      </c>
    </row>
    <row r="195" customFormat="false" ht="15" hidden="false" customHeight="false" outlineLevel="0" collapsed="false">
      <c r="A195" s="19"/>
      <c r="B195" s="17"/>
      <c r="C195" s="17"/>
      <c r="D195" s="18"/>
      <c r="E195" s="17"/>
      <c r="F195" s="22"/>
      <c r="G195" s="22"/>
      <c r="H195" s="22"/>
      <c r="I195" s="17"/>
      <c r="J195" s="20" t="str">
        <f aca="false">IF(B195="","",IFERROR(INDEX(Listas!$B$2:$B$40,MATCH(B195,Listas!$A$2:$A$40,0)),""))</f>
        <v/>
      </c>
    </row>
    <row r="196" customFormat="false" ht="15" hidden="false" customHeight="false" outlineLevel="0" collapsed="false">
      <c r="A196" s="19"/>
      <c r="B196" s="17"/>
      <c r="C196" s="17"/>
      <c r="D196" s="18"/>
      <c r="E196" s="17"/>
      <c r="F196" s="22"/>
      <c r="G196" s="22"/>
      <c r="H196" s="22"/>
      <c r="I196" s="17"/>
      <c r="J196" s="20" t="str">
        <f aca="false">IF(B196="","",IFERROR(INDEX(Listas!$B$2:$B$40,MATCH(B196,Listas!$A$2:$A$40,0)),""))</f>
        <v/>
      </c>
    </row>
    <row r="197" customFormat="false" ht="15" hidden="false" customHeight="false" outlineLevel="0" collapsed="false">
      <c r="A197" s="19"/>
      <c r="B197" s="17"/>
      <c r="C197" s="17"/>
      <c r="D197" s="18"/>
      <c r="E197" s="17"/>
      <c r="F197" s="22"/>
      <c r="G197" s="22"/>
      <c r="H197" s="22"/>
      <c r="I197" s="17"/>
      <c r="J197" s="20" t="str">
        <f aca="false">IF(B197="","",IFERROR(INDEX(Listas!$B$2:$B$40,MATCH(B197,Listas!$A$2:$A$40,0)),""))</f>
        <v/>
      </c>
    </row>
    <row r="198" customFormat="false" ht="15" hidden="false" customHeight="false" outlineLevel="0" collapsed="false">
      <c r="A198" s="19"/>
      <c r="B198" s="17"/>
      <c r="C198" s="17"/>
      <c r="D198" s="18"/>
      <c r="E198" s="17"/>
      <c r="F198" s="22"/>
      <c r="G198" s="22"/>
      <c r="H198" s="22"/>
      <c r="I198" s="17"/>
      <c r="J198" s="20" t="str">
        <f aca="false">IF(B198="","",IFERROR(INDEX(Listas!$B$2:$B$40,MATCH(B198,Listas!$A$2:$A$40,0)),""))</f>
        <v/>
      </c>
    </row>
    <row r="199" customFormat="false" ht="15" hidden="false" customHeight="false" outlineLevel="0" collapsed="false">
      <c r="A199" s="19"/>
      <c r="B199" s="17"/>
      <c r="C199" s="17"/>
      <c r="D199" s="18"/>
      <c r="E199" s="17"/>
      <c r="F199" s="22"/>
      <c r="G199" s="22"/>
      <c r="H199" s="22"/>
      <c r="I199" s="17"/>
      <c r="J199" s="20" t="str">
        <f aca="false">IF(B199="","",IFERROR(INDEX(Listas!$B$2:$B$40,MATCH(B199,Listas!$A$2:$A$40,0)),""))</f>
        <v/>
      </c>
    </row>
    <row r="200" customFormat="false" ht="15" hidden="false" customHeight="false" outlineLevel="0" collapsed="false">
      <c r="A200" s="19"/>
      <c r="B200" s="17"/>
      <c r="C200" s="17"/>
      <c r="D200" s="18"/>
      <c r="E200" s="17"/>
      <c r="F200" s="22"/>
      <c r="G200" s="22"/>
      <c r="H200" s="22"/>
      <c r="I200" s="17"/>
      <c r="J200" s="20" t="str">
        <f aca="false">IF(B200="","",IFERROR(INDEX(Listas!$B$2:$B$40,MATCH(B200,Listas!$A$2:$A$40,0)),""))</f>
        <v/>
      </c>
    </row>
    <row r="201" customFormat="false" ht="15" hidden="false" customHeight="false" outlineLevel="0" collapsed="false">
      <c r="A201" s="19"/>
      <c r="B201" s="17"/>
      <c r="C201" s="17"/>
      <c r="D201" s="18"/>
      <c r="E201" s="17"/>
      <c r="F201" s="22"/>
      <c r="G201" s="22"/>
      <c r="H201" s="22"/>
      <c r="I201" s="17"/>
      <c r="J201" s="20" t="str">
        <f aca="false">IF(B201="","",IFERROR(INDEX(Listas!$B$2:$B$40,MATCH(B201,Listas!$A$2:$A$40,0)),""))</f>
        <v/>
      </c>
    </row>
    <row r="202" customFormat="false" ht="15" hidden="false" customHeight="false" outlineLevel="0" collapsed="false">
      <c r="A202" s="19"/>
      <c r="B202" s="17"/>
      <c r="C202" s="17"/>
      <c r="D202" s="18"/>
      <c r="E202" s="17"/>
      <c r="F202" s="22"/>
      <c r="G202" s="22"/>
      <c r="H202" s="22"/>
      <c r="I202" s="17"/>
      <c r="J202" s="20" t="str">
        <f aca="false">IF(B202="","",IFERROR(INDEX(Listas!$B$2:$B$40,MATCH(B202,Listas!$A$2:$A$40,0)),""))</f>
        <v/>
      </c>
    </row>
    <row r="203" customFormat="false" ht="15" hidden="false" customHeight="false" outlineLevel="0" collapsed="false">
      <c r="A203" s="19"/>
      <c r="B203" s="17"/>
      <c r="C203" s="17"/>
      <c r="D203" s="18"/>
      <c r="E203" s="17"/>
      <c r="F203" s="22"/>
      <c r="G203" s="22"/>
      <c r="H203" s="22"/>
      <c r="I203" s="17"/>
      <c r="J203" s="20" t="str">
        <f aca="false">IF(B203="","",IFERROR(INDEX(Listas!$B$2:$B$40,MATCH(B203,Listas!$A$2:$A$40,0)),""))</f>
        <v/>
      </c>
    </row>
    <row r="204" customFormat="false" ht="15" hidden="false" customHeight="false" outlineLevel="0" collapsed="false">
      <c r="A204" s="19"/>
      <c r="B204" s="17"/>
      <c r="C204" s="17"/>
      <c r="D204" s="18"/>
      <c r="E204" s="17"/>
      <c r="F204" s="22"/>
      <c r="G204" s="22"/>
      <c r="H204" s="22"/>
      <c r="I204" s="17"/>
      <c r="J204" s="20" t="str">
        <f aca="false">IF(B204="","",IFERROR(INDEX(Listas!$B$2:$B$40,MATCH(B204,Listas!$A$2:$A$40,0)),""))</f>
        <v/>
      </c>
    </row>
    <row r="205" customFormat="false" ht="15" hidden="false" customHeight="false" outlineLevel="0" collapsed="false">
      <c r="A205" s="19"/>
      <c r="B205" s="17"/>
      <c r="C205" s="17"/>
      <c r="D205" s="18"/>
      <c r="E205" s="17"/>
      <c r="F205" s="22"/>
      <c r="G205" s="22"/>
      <c r="H205" s="22"/>
      <c r="I205" s="17"/>
      <c r="J205" s="20" t="str">
        <f aca="false">IF(B205="","",IFERROR(INDEX(Listas!$B$2:$B$40,MATCH(B205,Listas!$A$2:$A$40,0)),""))</f>
        <v/>
      </c>
    </row>
    <row r="206" customFormat="false" ht="15" hidden="false" customHeight="false" outlineLevel="0" collapsed="false">
      <c r="A206" s="19"/>
      <c r="B206" s="17"/>
      <c r="C206" s="17"/>
      <c r="D206" s="18"/>
      <c r="E206" s="17"/>
      <c r="F206" s="22"/>
      <c r="G206" s="22"/>
      <c r="H206" s="22"/>
      <c r="I206" s="17"/>
      <c r="J206" s="20" t="str">
        <f aca="false">IF(B206="","",IFERROR(INDEX(Listas!$B$2:$B$40,MATCH(B206,Listas!$A$2:$A$40,0)),""))</f>
        <v/>
      </c>
    </row>
    <row r="207" customFormat="false" ht="15" hidden="false" customHeight="false" outlineLevel="0" collapsed="false">
      <c r="A207" s="19"/>
      <c r="B207" s="17"/>
      <c r="C207" s="17"/>
      <c r="D207" s="18"/>
      <c r="E207" s="17"/>
      <c r="F207" s="22"/>
      <c r="G207" s="22"/>
      <c r="H207" s="22"/>
      <c r="I207" s="17"/>
      <c r="J207" s="20" t="str">
        <f aca="false">IF(B207="","",IFERROR(INDEX(Listas!$B$2:$B$40,MATCH(B207,Listas!$A$2:$A$40,0)),""))</f>
        <v/>
      </c>
    </row>
    <row r="208" customFormat="false" ht="15" hidden="false" customHeight="false" outlineLevel="0" collapsed="false">
      <c r="A208" s="19"/>
      <c r="B208" s="17"/>
      <c r="C208" s="17"/>
      <c r="D208" s="18"/>
      <c r="E208" s="17"/>
      <c r="F208" s="22"/>
      <c r="G208" s="22"/>
      <c r="H208" s="22"/>
      <c r="I208" s="17"/>
      <c r="J208" s="20" t="str">
        <f aca="false">IF(B208="","",IFERROR(INDEX(Listas!$B$2:$B$40,MATCH(B208,Listas!$A$2:$A$40,0)),""))</f>
        <v/>
      </c>
    </row>
    <row r="209" customFormat="false" ht="15" hidden="false" customHeight="false" outlineLevel="0" collapsed="false">
      <c r="A209" s="19"/>
      <c r="B209" s="17"/>
      <c r="C209" s="17"/>
      <c r="D209" s="18"/>
      <c r="E209" s="17"/>
      <c r="F209" s="22"/>
      <c r="G209" s="22"/>
      <c r="H209" s="22"/>
      <c r="I209" s="17"/>
      <c r="J209" s="20" t="str">
        <f aca="false">IF(B209="","",IFERROR(INDEX(Listas!$B$2:$B$40,MATCH(B209,Listas!$A$2:$A$40,0)),""))</f>
        <v/>
      </c>
    </row>
    <row r="210" customFormat="false" ht="15" hidden="false" customHeight="false" outlineLevel="0" collapsed="false">
      <c r="A210" s="19"/>
      <c r="B210" s="17"/>
      <c r="C210" s="17"/>
      <c r="D210" s="18"/>
      <c r="E210" s="17"/>
      <c r="F210" s="22"/>
      <c r="G210" s="22"/>
      <c r="H210" s="22"/>
      <c r="I210" s="17"/>
      <c r="J210" s="20" t="str">
        <f aca="false">IF(B210="","",IFERROR(INDEX(Listas!$B$2:$B$40,MATCH(B210,Listas!$A$2:$A$40,0)),""))</f>
        <v/>
      </c>
    </row>
    <row r="211" customFormat="false" ht="15" hidden="false" customHeight="false" outlineLevel="0" collapsed="false">
      <c r="A211" s="19"/>
      <c r="B211" s="17"/>
      <c r="C211" s="17"/>
      <c r="D211" s="18"/>
      <c r="E211" s="17"/>
      <c r="F211" s="22"/>
      <c r="G211" s="22"/>
      <c r="H211" s="22"/>
      <c r="I211" s="17"/>
      <c r="J211" s="20" t="str">
        <f aca="false">IF(B211="","",IFERROR(INDEX(Listas!$B$2:$B$40,MATCH(B211,Listas!$A$2:$A$40,0)),""))</f>
        <v/>
      </c>
    </row>
    <row r="212" customFormat="false" ht="15" hidden="false" customHeight="false" outlineLevel="0" collapsed="false">
      <c r="A212" s="19"/>
      <c r="B212" s="17"/>
      <c r="C212" s="17"/>
      <c r="D212" s="18"/>
      <c r="E212" s="17"/>
      <c r="F212" s="22"/>
      <c r="G212" s="22"/>
      <c r="H212" s="22"/>
      <c r="I212" s="17"/>
      <c r="J212" s="20" t="str">
        <f aca="false">IF(B212="","",IFERROR(INDEX(Listas!$B$2:$B$40,MATCH(B212,Listas!$A$2:$A$40,0)),""))</f>
        <v/>
      </c>
    </row>
    <row r="213" customFormat="false" ht="15" hidden="false" customHeight="false" outlineLevel="0" collapsed="false">
      <c r="A213" s="19"/>
      <c r="B213" s="17"/>
      <c r="C213" s="17"/>
      <c r="D213" s="18"/>
      <c r="E213" s="17"/>
      <c r="F213" s="22"/>
      <c r="G213" s="22"/>
      <c r="H213" s="22"/>
      <c r="I213" s="17"/>
      <c r="J213" s="20" t="str">
        <f aca="false">IF(B213="","",IFERROR(INDEX(Listas!$B$2:$B$40,MATCH(B213,Listas!$A$2:$A$40,0)),""))</f>
        <v/>
      </c>
    </row>
    <row r="214" customFormat="false" ht="15" hidden="false" customHeight="false" outlineLevel="0" collapsed="false">
      <c r="A214" s="19"/>
      <c r="B214" s="17"/>
      <c r="C214" s="17"/>
      <c r="D214" s="18"/>
      <c r="E214" s="17"/>
      <c r="F214" s="22"/>
      <c r="G214" s="22"/>
      <c r="H214" s="22"/>
      <c r="I214" s="17"/>
      <c r="J214" s="20" t="str">
        <f aca="false">IF(B214="","",IFERROR(INDEX(Listas!$B$2:$B$40,MATCH(B214,Listas!$A$2:$A$40,0)),""))</f>
        <v/>
      </c>
    </row>
    <row r="215" customFormat="false" ht="15" hidden="false" customHeight="false" outlineLevel="0" collapsed="false">
      <c r="A215" s="19"/>
      <c r="B215" s="17"/>
      <c r="C215" s="17"/>
      <c r="D215" s="18"/>
      <c r="E215" s="17"/>
      <c r="F215" s="22"/>
      <c r="G215" s="22"/>
      <c r="H215" s="22"/>
      <c r="I215" s="17"/>
      <c r="J215" s="20" t="str">
        <f aca="false">IF(B215="","",IFERROR(INDEX(Listas!$B$2:$B$40,MATCH(B215,Listas!$A$2:$A$40,0)),""))</f>
        <v/>
      </c>
    </row>
    <row r="216" customFormat="false" ht="15" hidden="false" customHeight="false" outlineLevel="0" collapsed="false">
      <c r="A216" s="19"/>
      <c r="B216" s="17"/>
      <c r="C216" s="17"/>
      <c r="D216" s="18"/>
      <c r="E216" s="17"/>
      <c r="F216" s="22"/>
      <c r="G216" s="22"/>
      <c r="H216" s="22"/>
      <c r="I216" s="17"/>
      <c r="J216" s="20" t="str">
        <f aca="false">IF(B216="","",IFERROR(INDEX(Listas!$B$2:$B$40,MATCH(B216,Listas!$A$2:$A$40,0)),""))</f>
        <v/>
      </c>
    </row>
    <row r="217" customFormat="false" ht="15" hidden="false" customHeight="false" outlineLevel="0" collapsed="false">
      <c r="A217" s="19"/>
      <c r="B217" s="17"/>
      <c r="C217" s="17"/>
      <c r="D217" s="18"/>
      <c r="E217" s="17"/>
      <c r="F217" s="22"/>
      <c r="G217" s="22"/>
      <c r="H217" s="22"/>
      <c r="I217" s="17"/>
      <c r="J217" s="20" t="str">
        <f aca="false">IF(B217="","",IFERROR(INDEX(Listas!$B$2:$B$40,MATCH(B217,Listas!$A$2:$A$40,0)),""))</f>
        <v/>
      </c>
    </row>
    <row r="218" customFormat="false" ht="15" hidden="false" customHeight="false" outlineLevel="0" collapsed="false">
      <c r="A218" s="19"/>
      <c r="B218" s="17"/>
      <c r="C218" s="17"/>
      <c r="D218" s="18"/>
      <c r="E218" s="17"/>
      <c r="F218" s="22"/>
      <c r="G218" s="22"/>
      <c r="H218" s="22"/>
      <c r="I218" s="17"/>
      <c r="J218" s="20" t="str">
        <f aca="false">IF(B218="","",IFERROR(INDEX(Listas!$B$2:$B$40,MATCH(B218,Listas!$A$2:$A$40,0)),""))</f>
        <v/>
      </c>
    </row>
    <row r="219" customFormat="false" ht="15" hidden="false" customHeight="false" outlineLevel="0" collapsed="false">
      <c r="A219" s="19"/>
      <c r="B219" s="17"/>
      <c r="C219" s="17"/>
      <c r="D219" s="18"/>
      <c r="E219" s="17"/>
      <c r="F219" s="22"/>
      <c r="G219" s="22"/>
      <c r="H219" s="22"/>
      <c r="I219" s="17"/>
      <c r="J219" s="20" t="str">
        <f aca="false">IF(B219="","",IFERROR(INDEX(Listas!$B$2:$B$40,MATCH(B219,Listas!$A$2:$A$40,0)),""))</f>
        <v/>
      </c>
    </row>
    <row r="220" customFormat="false" ht="15" hidden="false" customHeight="false" outlineLevel="0" collapsed="false">
      <c r="A220" s="19"/>
      <c r="B220" s="17"/>
      <c r="C220" s="17"/>
      <c r="D220" s="18"/>
      <c r="E220" s="17"/>
      <c r="F220" s="22"/>
      <c r="G220" s="22"/>
      <c r="H220" s="22"/>
      <c r="I220" s="17"/>
      <c r="J220" s="20" t="str">
        <f aca="false">IF(B220="","",IFERROR(INDEX(Listas!$B$2:$B$40,MATCH(B220,Listas!$A$2:$A$40,0)),""))</f>
        <v/>
      </c>
    </row>
    <row r="221" customFormat="false" ht="15" hidden="false" customHeight="false" outlineLevel="0" collapsed="false">
      <c r="A221" s="19"/>
      <c r="B221" s="17"/>
      <c r="C221" s="17"/>
      <c r="D221" s="18"/>
      <c r="E221" s="17"/>
      <c r="F221" s="22"/>
      <c r="G221" s="22"/>
      <c r="H221" s="22"/>
      <c r="I221" s="17"/>
      <c r="J221" s="20" t="str">
        <f aca="false">IF(B221="","",IFERROR(INDEX(Listas!$B$2:$B$40,MATCH(B221,Listas!$A$2:$A$40,0)),""))</f>
        <v/>
      </c>
    </row>
    <row r="222" customFormat="false" ht="15" hidden="false" customHeight="false" outlineLevel="0" collapsed="false">
      <c r="A222" s="19"/>
      <c r="B222" s="17"/>
      <c r="C222" s="17"/>
      <c r="D222" s="18"/>
      <c r="E222" s="17"/>
      <c r="F222" s="22"/>
      <c r="G222" s="22"/>
      <c r="H222" s="22"/>
      <c r="I222" s="17"/>
      <c r="J222" s="20" t="str">
        <f aca="false">IF(B222="","",IFERROR(INDEX(Listas!$B$2:$B$40,MATCH(B222,Listas!$A$2:$A$40,0)),""))</f>
        <v/>
      </c>
    </row>
    <row r="223" customFormat="false" ht="15" hidden="false" customHeight="false" outlineLevel="0" collapsed="false">
      <c r="A223" s="19"/>
      <c r="B223" s="17"/>
      <c r="C223" s="17"/>
      <c r="D223" s="18"/>
      <c r="E223" s="17"/>
      <c r="F223" s="22"/>
      <c r="G223" s="22"/>
      <c r="H223" s="22"/>
      <c r="I223" s="17"/>
      <c r="J223" s="20" t="str">
        <f aca="false">IF(B223="","",IFERROR(INDEX(Listas!$B$2:$B$40,MATCH(B223,Listas!$A$2:$A$40,0)),""))</f>
        <v/>
      </c>
    </row>
    <row r="224" customFormat="false" ht="15" hidden="false" customHeight="false" outlineLevel="0" collapsed="false">
      <c r="A224" s="19"/>
      <c r="B224" s="17"/>
      <c r="C224" s="17"/>
      <c r="D224" s="18"/>
      <c r="E224" s="17"/>
      <c r="F224" s="22"/>
      <c r="G224" s="22"/>
      <c r="H224" s="22"/>
      <c r="I224" s="17"/>
      <c r="J224" s="20" t="str">
        <f aca="false">IF(B224="","",IFERROR(INDEX(Listas!$B$2:$B$40,MATCH(B224,Listas!$A$2:$A$40,0)),""))</f>
        <v/>
      </c>
    </row>
    <row r="225" customFormat="false" ht="15" hidden="false" customHeight="false" outlineLevel="0" collapsed="false">
      <c r="A225" s="19"/>
      <c r="B225" s="17"/>
      <c r="C225" s="17"/>
      <c r="D225" s="18"/>
      <c r="E225" s="17"/>
      <c r="F225" s="22"/>
      <c r="G225" s="22"/>
      <c r="H225" s="22"/>
      <c r="I225" s="17"/>
      <c r="J225" s="20" t="str">
        <f aca="false">IF(B225="","",IFERROR(INDEX(Listas!$B$2:$B$40,MATCH(B225,Listas!$A$2:$A$40,0)),""))</f>
        <v/>
      </c>
    </row>
    <row r="226" customFormat="false" ht="15" hidden="false" customHeight="false" outlineLevel="0" collapsed="false">
      <c r="A226" s="19"/>
      <c r="B226" s="17"/>
      <c r="C226" s="17"/>
      <c r="D226" s="18"/>
      <c r="E226" s="17"/>
      <c r="F226" s="22"/>
      <c r="G226" s="22"/>
      <c r="H226" s="22"/>
      <c r="I226" s="17"/>
      <c r="J226" s="20" t="str">
        <f aca="false">IF(B226="","",IFERROR(INDEX(Listas!$B$2:$B$40,MATCH(B226,Listas!$A$2:$A$40,0)),""))</f>
        <v/>
      </c>
    </row>
    <row r="227" customFormat="false" ht="15" hidden="false" customHeight="false" outlineLevel="0" collapsed="false">
      <c r="A227" s="19"/>
      <c r="B227" s="17"/>
      <c r="C227" s="17"/>
      <c r="D227" s="18"/>
      <c r="E227" s="17"/>
      <c r="F227" s="22"/>
      <c r="G227" s="22"/>
      <c r="H227" s="22"/>
      <c r="I227" s="17"/>
      <c r="J227" s="20" t="str">
        <f aca="false">IF(B227="","",IFERROR(INDEX(Listas!$B$2:$B$40,MATCH(B227,Listas!$A$2:$A$40,0)),""))</f>
        <v/>
      </c>
    </row>
    <row r="228" customFormat="false" ht="15" hidden="false" customHeight="false" outlineLevel="0" collapsed="false">
      <c r="A228" s="19"/>
      <c r="B228" s="17"/>
      <c r="C228" s="17"/>
      <c r="D228" s="18"/>
      <c r="E228" s="17"/>
      <c r="F228" s="22"/>
      <c r="G228" s="22"/>
      <c r="H228" s="22"/>
      <c r="I228" s="17"/>
      <c r="J228" s="20" t="str">
        <f aca="false">IF(B228="","",IFERROR(INDEX(Listas!$B$2:$B$40,MATCH(B228,Listas!$A$2:$A$40,0)),""))</f>
        <v/>
      </c>
    </row>
    <row r="229" customFormat="false" ht="15" hidden="false" customHeight="false" outlineLevel="0" collapsed="false">
      <c r="A229" s="19"/>
      <c r="B229" s="17"/>
      <c r="C229" s="17"/>
      <c r="D229" s="18"/>
      <c r="E229" s="17"/>
      <c r="F229" s="22"/>
      <c r="G229" s="22"/>
      <c r="H229" s="22"/>
      <c r="I229" s="17"/>
      <c r="J229" s="20" t="str">
        <f aca="false">IF(B229="","",IFERROR(INDEX(Listas!$B$2:$B$40,MATCH(B229,Listas!$A$2:$A$40,0)),""))</f>
        <v/>
      </c>
    </row>
    <row r="230" customFormat="false" ht="15" hidden="false" customHeight="false" outlineLevel="0" collapsed="false">
      <c r="A230" s="19"/>
      <c r="B230" s="17"/>
      <c r="C230" s="17"/>
      <c r="D230" s="18"/>
      <c r="E230" s="17"/>
      <c r="F230" s="22"/>
      <c r="G230" s="22"/>
      <c r="H230" s="22"/>
      <c r="I230" s="17"/>
      <c r="J230" s="20" t="str">
        <f aca="false">IF(B230="","",IFERROR(INDEX(Listas!$B$2:$B$40,MATCH(B230,Listas!$A$2:$A$40,0)),""))</f>
        <v/>
      </c>
    </row>
    <row r="231" customFormat="false" ht="15" hidden="false" customHeight="false" outlineLevel="0" collapsed="false">
      <c r="A231" s="19"/>
      <c r="B231" s="17"/>
      <c r="C231" s="17"/>
      <c r="D231" s="18"/>
      <c r="E231" s="17"/>
      <c r="F231" s="22"/>
      <c r="G231" s="22"/>
      <c r="H231" s="22"/>
      <c r="I231" s="17"/>
      <c r="J231" s="20" t="str">
        <f aca="false">IF(B231="","",IFERROR(INDEX(Listas!$B$2:$B$40,MATCH(B231,Listas!$A$2:$A$40,0)),""))</f>
        <v/>
      </c>
    </row>
    <row r="232" customFormat="false" ht="15" hidden="false" customHeight="false" outlineLevel="0" collapsed="false">
      <c r="A232" s="19"/>
      <c r="B232" s="17"/>
      <c r="C232" s="17"/>
      <c r="D232" s="18"/>
      <c r="E232" s="17"/>
      <c r="F232" s="22"/>
      <c r="G232" s="22"/>
      <c r="H232" s="22"/>
      <c r="I232" s="17"/>
      <c r="J232" s="20" t="str">
        <f aca="false">IF(B232="","",IFERROR(INDEX(Listas!$B$2:$B$40,MATCH(B232,Listas!$A$2:$A$40,0)),""))</f>
        <v/>
      </c>
    </row>
    <row r="233" customFormat="false" ht="15" hidden="false" customHeight="false" outlineLevel="0" collapsed="false">
      <c r="A233" s="19"/>
      <c r="B233" s="17"/>
      <c r="C233" s="17"/>
      <c r="D233" s="18"/>
      <c r="E233" s="17"/>
      <c r="F233" s="22"/>
      <c r="G233" s="22"/>
      <c r="H233" s="22"/>
      <c r="I233" s="17"/>
      <c r="J233" s="20" t="str">
        <f aca="false">IF(B233="","",IFERROR(INDEX(Listas!$B$2:$B$40,MATCH(B233,Listas!$A$2:$A$40,0)),""))</f>
        <v/>
      </c>
    </row>
    <row r="234" customFormat="false" ht="15" hidden="false" customHeight="false" outlineLevel="0" collapsed="false">
      <c r="A234" s="19"/>
      <c r="B234" s="17"/>
      <c r="C234" s="17"/>
      <c r="D234" s="18"/>
      <c r="E234" s="17"/>
      <c r="F234" s="22"/>
      <c r="G234" s="22"/>
      <c r="H234" s="22"/>
      <c r="I234" s="17"/>
      <c r="J234" s="20" t="str">
        <f aca="false">IF(B234="","",IFERROR(INDEX(Listas!$B$2:$B$40,MATCH(B234,Listas!$A$2:$A$40,0)),""))</f>
        <v/>
      </c>
    </row>
    <row r="235" customFormat="false" ht="15" hidden="false" customHeight="false" outlineLevel="0" collapsed="false">
      <c r="A235" s="19"/>
      <c r="B235" s="17"/>
      <c r="C235" s="17"/>
      <c r="D235" s="18"/>
      <c r="E235" s="17"/>
      <c r="F235" s="22"/>
      <c r="G235" s="22"/>
      <c r="H235" s="22"/>
      <c r="I235" s="17"/>
      <c r="J235" s="20" t="str">
        <f aca="false">IF(B235="","",IFERROR(INDEX(Listas!$B$2:$B$40,MATCH(B235,Listas!$A$2:$A$40,0)),""))</f>
        <v/>
      </c>
    </row>
    <row r="236" customFormat="false" ht="15" hidden="false" customHeight="false" outlineLevel="0" collapsed="false">
      <c r="A236" s="19"/>
      <c r="B236" s="17"/>
      <c r="C236" s="17"/>
      <c r="D236" s="18"/>
      <c r="E236" s="17"/>
      <c r="F236" s="22"/>
      <c r="G236" s="22"/>
      <c r="H236" s="22"/>
      <c r="I236" s="17"/>
      <c r="J236" s="20" t="str">
        <f aca="false">IF(B236="","",IFERROR(INDEX(Listas!$B$2:$B$40,MATCH(B236,Listas!$A$2:$A$40,0)),""))</f>
        <v/>
      </c>
    </row>
    <row r="237" customFormat="false" ht="15" hidden="false" customHeight="false" outlineLevel="0" collapsed="false">
      <c r="A237" s="19"/>
      <c r="B237" s="17"/>
      <c r="C237" s="17"/>
      <c r="D237" s="18"/>
      <c r="E237" s="17"/>
      <c r="F237" s="22"/>
      <c r="G237" s="22"/>
      <c r="H237" s="22"/>
      <c r="I237" s="17"/>
      <c r="J237" s="20" t="str">
        <f aca="false">IF(B237="","",IFERROR(INDEX(Listas!$B$2:$B$40,MATCH(B237,Listas!$A$2:$A$40,0)),""))</f>
        <v/>
      </c>
    </row>
    <row r="238" customFormat="false" ht="15" hidden="false" customHeight="false" outlineLevel="0" collapsed="false">
      <c r="A238" s="19"/>
      <c r="B238" s="17"/>
      <c r="C238" s="17"/>
      <c r="D238" s="18"/>
      <c r="E238" s="17"/>
      <c r="F238" s="22"/>
      <c r="G238" s="22"/>
      <c r="H238" s="22"/>
      <c r="I238" s="17"/>
      <c r="J238" s="20" t="str">
        <f aca="false">IF(B238="","",IFERROR(INDEX(Listas!$B$2:$B$40,MATCH(B238,Listas!$A$2:$A$40,0)),""))</f>
        <v/>
      </c>
    </row>
    <row r="239" customFormat="false" ht="15" hidden="false" customHeight="false" outlineLevel="0" collapsed="false">
      <c r="A239" s="19"/>
      <c r="B239" s="17"/>
      <c r="C239" s="17"/>
      <c r="D239" s="18"/>
      <c r="E239" s="17"/>
      <c r="F239" s="22"/>
      <c r="G239" s="22"/>
      <c r="H239" s="22"/>
      <c r="I239" s="17"/>
      <c r="J239" s="20" t="str">
        <f aca="false">IF(B239="","",IFERROR(INDEX(Listas!$B$2:$B$40,MATCH(B239,Listas!$A$2:$A$40,0)),""))</f>
        <v/>
      </c>
    </row>
    <row r="240" customFormat="false" ht="15" hidden="false" customHeight="false" outlineLevel="0" collapsed="false">
      <c r="A240" s="19"/>
      <c r="B240" s="17"/>
      <c r="C240" s="17"/>
      <c r="D240" s="18"/>
      <c r="E240" s="17"/>
      <c r="F240" s="22"/>
      <c r="G240" s="22"/>
      <c r="H240" s="22"/>
      <c r="I240" s="17"/>
      <c r="J240" s="20" t="str">
        <f aca="false">IF(B240="","",IFERROR(INDEX(Listas!$B$2:$B$40,MATCH(B240,Listas!$A$2:$A$40,0)),""))</f>
        <v/>
      </c>
    </row>
    <row r="241" customFormat="false" ht="15" hidden="false" customHeight="false" outlineLevel="0" collapsed="false">
      <c r="A241" s="19"/>
      <c r="B241" s="17"/>
      <c r="C241" s="17"/>
      <c r="D241" s="18"/>
      <c r="E241" s="17"/>
      <c r="F241" s="22"/>
      <c r="G241" s="22"/>
      <c r="H241" s="22"/>
      <c r="I241" s="17"/>
      <c r="J241" s="20" t="str">
        <f aca="false">IF(B241="","",IFERROR(INDEX(Listas!$B$2:$B$40,MATCH(B241,Listas!$A$2:$A$40,0)),""))</f>
        <v/>
      </c>
    </row>
    <row r="242" customFormat="false" ht="15" hidden="false" customHeight="false" outlineLevel="0" collapsed="false">
      <c r="A242" s="19"/>
      <c r="B242" s="17"/>
      <c r="C242" s="17"/>
      <c r="D242" s="18"/>
      <c r="E242" s="17"/>
      <c r="F242" s="22"/>
      <c r="G242" s="22"/>
      <c r="H242" s="22"/>
      <c r="I242" s="17"/>
      <c r="J242" s="20" t="str">
        <f aca="false">IF(B242="","",IFERROR(INDEX(Listas!$B$2:$B$40,MATCH(B242,Listas!$A$2:$A$40,0)),""))</f>
        <v/>
      </c>
    </row>
    <row r="243" customFormat="false" ht="15" hidden="false" customHeight="false" outlineLevel="0" collapsed="false">
      <c r="A243" s="19"/>
      <c r="B243" s="17"/>
      <c r="C243" s="17"/>
      <c r="D243" s="18"/>
      <c r="E243" s="17"/>
      <c r="F243" s="22"/>
      <c r="G243" s="22"/>
      <c r="H243" s="22"/>
      <c r="I243" s="17"/>
      <c r="J243" s="20" t="str">
        <f aca="false">IF(B243="","",IFERROR(INDEX(Listas!$B$2:$B$40,MATCH(B243,Listas!$A$2:$A$40,0)),""))</f>
        <v/>
      </c>
    </row>
    <row r="244" customFormat="false" ht="15" hidden="false" customHeight="false" outlineLevel="0" collapsed="false">
      <c r="A244" s="19"/>
      <c r="B244" s="17"/>
      <c r="C244" s="17"/>
      <c r="D244" s="18"/>
      <c r="E244" s="17"/>
      <c r="F244" s="22"/>
      <c r="G244" s="22"/>
      <c r="H244" s="22"/>
      <c r="I244" s="17"/>
      <c r="J244" s="20" t="str">
        <f aca="false">IF(B244="","",IFERROR(INDEX(Listas!$B$2:$B$40,MATCH(B244,Listas!$A$2:$A$40,0)),""))</f>
        <v/>
      </c>
    </row>
    <row r="245" customFormat="false" ht="15" hidden="false" customHeight="false" outlineLevel="0" collapsed="false">
      <c r="A245" s="19"/>
      <c r="B245" s="17"/>
      <c r="C245" s="17"/>
      <c r="D245" s="18"/>
      <c r="E245" s="17"/>
      <c r="F245" s="22"/>
      <c r="G245" s="22"/>
      <c r="H245" s="22"/>
      <c r="I245" s="17"/>
      <c r="J245" s="20" t="str">
        <f aca="false">IF(B245="","",IFERROR(INDEX(Listas!$B$2:$B$40,MATCH(B245,Listas!$A$2:$A$40,0)),""))</f>
        <v/>
      </c>
    </row>
    <row r="246" customFormat="false" ht="15" hidden="false" customHeight="false" outlineLevel="0" collapsed="false">
      <c r="A246" s="19"/>
      <c r="B246" s="17"/>
      <c r="C246" s="17"/>
      <c r="D246" s="18"/>
      <c r="E246" s="17"/>
      <c r="F246" s="22"/>
      <c r="G246" s="22"/>
      <c r="H246" s="22"/>
      <c r="I246" s="17"/>
      <c r="J246" s="20" t="str">
        <f aca="false">IF(B246="","",IFERROR(INDEX(Listas!$B$2:$B$40,MATCH(B246,Listas!$A$2:$A$40,0)),""))</f>
        <v/>
      </c>
    </row>
    <row r="247" customFormat="false" ht="15" hidden="false" customHeight="false" outlineLevel="0" collapsed="false">
      <c r="A247" s="19"/>
      <c r="B247" s="17"/>
      <c r="C247" s="17"/>
      <c r="D247" s="18"/>
      <c r="E247" s="17"/>
      <c r="F247" s="22"/>
      <c r="G247" s="22"/>
      <c r="H247" s="22"/>
      <c r="I247" s="17"/>
      <c r="J247" s="20" t="str">
        <f aca="false">IF(B247="","",IFERROR(INDEX(Listas!$B$2:$B$40,MATCH(B247,Listas!$A$2:$A$40,0)),""))</f>
        <v/>
      </c>
    </row>
    <row r="248" customFormat="false" ht="15" hidden="false" customHeight="false" outlineLevel="0" collapsed="false">
      <c r="A248" s="19"/>
      <c r="B248" s="17"/>
      <c r="C248" s="17"/>
      <c r="D248" s="18"/>
      <c r="E248" s="17"/>
      <c r="F248" s="22"/>
      <c r="G248" s="22"/>
      <c r="H248" s="22"/>
      <c r="I248" s="17"/>
      <c r="J248" s="20" t="str">
        <f aca="false">IF(B248="","",IFERROR(INDEX(Listas!$B$2:$B$40,MATCH(B248,Listas!$A$2:$A$40,0)),""))</f>
        <v/>
      </c>
    </row>
    <row r="249" customFormat="false" ht="15" hidden="false" customHeight="false" outlineLevel="0" collapsed="false">
      <c r="A249" s="19"/>
      <c r="B249" s="17"/>
      <c r="C249" s="17"/>
      <c r="D249" s="18"/>
      <c r="E249" s="17"/>
      <c r="F249" s="22"/>
      <c r="G249" s="22"/>
      <c r="H249" s="22"/>
      <c r="I249" s="17"/>
      <c r="J249" s="20" t="str">
        <f aca="false">IF(B249="","",IFERROR(INDEX(Listas!$B$2:$B$40,MATCH(B249,Listas!$A$2:$A$40,0)),""))</f>
        <v/>
      </c>
    </row>
    <row r="250" customFormat="false" ht="15" hidden="false" customHeight="false" outlineLevel="0" collapsed="false">
      <c r="A250" s="19"/>
      <c r="B250" s="17"/>
      <c r="C250" s="17"/>
      <c r="D250" s="18"/>
      <c r="E250" s="17"/>
      <c r="F250" s="22"/>
      <c r="G250" s="22"/>
      <c r="H250" s="22"/>
      <c r="I250" s="17"/>
      <c r="J250" s="20" t="str">
        <f aca="false">IF(B250="","",IFERROR(INDEX(Listas!$B$2:$B$40,MATCH(B250,Listas!$A$2:$A$40,0)),""))</f>
        <v/>
      </c>
    </row>
    <row r="251" customFormat="false" ht="15" hidden="false" customHeight="false" outlineLevel="0" collapsed="false">
      <c r="A251" s="19"/>
      <c r="B251" s="17"/>
      <c r="C251" s="17"/>
      <c r="D251" s="18"/>
      <c r="E251" s="17"/>
      <c r="F251" s="22"/>
      <c r="G251" s="22"/>
      <c r="H251" s="22"/>
      <c r="I251" s="17"/>
      <c r="J251" s="20" t="str">
        <f aca="false">IF(B251="","",IFERROR(INDEX(Listas!$B$2:$B$40,MATCH(B251,Listas!$A$2:$A$40,0)),""))</f>
        <v/>
      </c>
    </row>
    <row r="252" customFormat="false" ht="15" hidden="false" customHeight="false" outlineLevel="0" collapsed="false">
      <c r="A252" s="19"/>
      <c r="B252" s="17"/>
      <c r="C252" s="17"/>
      <c r="D252" s="18"/>
      <c r="E252" s="17"/>
      <c r="F252" s="22"/>
      <c r="G252" s="22"/>
      <c r="H252" s="22"/>
      <c r="I252" s="17"/>
      <c r="J252" s="20" t="str">
        <f aca="false">IF(B252="","",IFERROR(INDEX(Listas!$B$2:$B$40,MATCH(B252,Listas!$A$2:$A$40,0)),""))</f>
        <v/>
      </c>
    </row>
    <row r="253" customFormat="false" ht="15" hidden="false" customHeight="false" outlineLevel="0" collapsed="false">
      <c r="A253" s="19"/>
      <c r="B253" s="17"/>
      <c r="C253" s="17"/>
      <c r="D253" s="18"/>
      <c r="E253" s="17"/>
      <c r="F253" s="22"/>
      <c r="G253" s="22"/>
      <c r="H253" s="22"/>
      <c r="I253" s="17"/>
      <c r="J253" s="20" t="str">
        <f aca="false">IF(B253="","",IFERROR(INDEX(Listas!$B$2:$B$40,MATCH(B253,Listas!$A$2:$A$40,0)),""))</f>
        <v/>
      </c>
    </row>
    <row r="254" customFormat="false" ht="15" hidden="false" customHeight="false" outlineLevel="0" collapsed="false">
      <c r="A254" s="19"/>
      <c r="B254" s="17"/>
      <c r="C254" s="17"/>
      <c r="D254" s="18"/>
      <c r="E254" s="17"/>
      <c r="F254" s="22"/>
      <c r="G254" s="22"/>
      <c r="H254" s="22"/>
      <c r="I254" s="17"/>
      <c r="J254" s="20" t="str">
        <f aca="false">IF(B254="","",IFERROR(INDEX(Listas!$B$2:$B$40,MATCH(B254,Listas!$A$2:$A$40,0)),""))</f>
        <v/>
      </c>
    </row>
    <row r="255" customFormat="false" ht="15" hidden="false" customHeight="false" outlineLevel="0" collapsed="false">
      <c r="A255" s="19"/>
      <c r="B255" s="17"/>
      <c r="C255" s="17"/>
      <c r="D255" s="18"/>
      <c r="E255" s="17"/>
      <c r="F255" s="22"/>
      <c r="G255" s="22"/>
      <c r="H255" s="22"/>
      <c r="I255" s="17"/>
      <c r="J255" s="20" t="str">
        <f aca="false">IF(B255="","",IFERROR(INDEX(Listas!$B$2:$B$40,MATCH(B255,Listas!$A$2:$A$40,0)),""))</f>
        <v/>
      </c>
    </row>
    <row r="256" customFormat="false" ht="15" hidden="false" customHeight="false" outlineLevel="0" collapsed="false">
      <c r="A256" s="19"/>
      <c r="B256" s="17"/>
      <c r="C256" s="17"/>
      <c r="D256" s="18"/>
      <c r="E256" s="17"/>
      <c r="F256" s="22"/>
      <c r="G256" s="22"/>
      <c r="H256" s="22"/>
      <c r="I256" s="17"/>
      <c r="J256" s="20" t="str">
        <f aca="false">IF(B256="","",IFERROR(INDEX(Listas!$B$2:$B$40,MATCH(B256,Listas!$A$2:$A$40,0)),""))</f>
        <v/>
      </c>
    </row>
    <row r="257" customFormat="false" ht="15" hidden="false" customHeight="false" outlineLevel="0" collapsed="false">
      <c r="A257" s="19"/>
      <c r="B257" s="17"/>
      <c r="C257" s="17"/>
      <c r="D257" s="18"/>
      <c r="E257" s="17"/>
      <c r="F257" s="22"/>
      <c r="G257" s="22"/>
      <c r="H257" s="22"/>
      <c r="I257" s="17"/>
      <c r="J257" s="20" t="str">
        <f aca="false">IF(B257="","",IFERROR(INDEX(Listas!$B$2:$B$40,MATCH(B257,Listas!$A$2:$A$40,0)),""))</f>
        <v/>
      </c>
    </row>
    <row r="258" customFormat="false" ht="15" hidden="false" customHeight="false" outlineLevel="0" collapsed="false">
      <c r="A258" s="19"/>
      <c r="B258" s="17"/>
      <c r="C258" s="17"/>
      <c r="D258" s="18"/>
      <c r="E258" s="17"/>
      <c r="F258" s="22"/>
      <c r="G258" s="22"/>
      <c r="H258" s="22"/>
      <c r="I258" s="17"/>
      <c r="J258" s="20" t="str">
        <f aca="false">IF(B258="","",IFERROR(INDEX(Listas!$B$2:$B$40,MATCH(B258,Listas!$A$2:$A$40,0)),""))</f>
        <v/>
      </c>
    </row>
    <row r="259" customFormat="false" ht="15" hidden="false" customHeight="false" outlineLevel="0" collapsed="false">
      <c r="A259" s="19"/>
      <c r="B259" s="17"/>
      <c r="C259" s="17"/>
      <c r="D259" s="18"/>
      <c r="E259" s="17"/>
      <c r="F259" s="22"/>
      <c r="G259" s="22"/>
      <c r="H259" s="22"/>
      <c r="I259" s="17"/>
      <c r="J259" s="20" t="str">
        <f aca="false">IF(B259="","",IFERROR(INDEX(Listas!$B$2:$B$40,MATCH(B259,Listas!$A$2:$A$40,0)),""))</f>
        <v/>
      </c>
    </row>
    <row r="260" customFormat="false" ht="15" hidden="false" customHeight="false" outlineLevel="0" collapsed="false">
      <c r="A260" s="19"/>
      <c r="B260" s="17"/>
      <c r="C260" s="17"/>
      <c r="D260" s="18"/>
      <c r="E260" s="17"/>
      <c r="F260" s="22"/>
      <c r="G260" s="22"/>
      <c r="H260" s="22"/>
      <c r="I260" s="17"/>
      <c r="J260" s="20" t="str">
        <f aca="false">IF(B260="","",IFERROR(INDEX(Listas!$B$2:$B$40,MATCH(B260,Listas!$A$2:$A$40,0)),""))</f>
        <v/>
      </c>
    </row>
    <row r="261" customFormat="false" ht="15" hidden="false" customHeight="false" outlineLevel="0" collapsed="false">
      <c r="A261" s="19"/>
      <c r="B261" s="17"/>
      <c r="C261" s="17"/>
      <c r="D261" s="18"/>
      <c r="E261" s="17"/>
      <c r="F261" s="22"/>
      <c r="G261" s="22"/>
      <c r="H261" s="22"/>
      <c r="I261" s="17"/>
      <c r="J261" s="20" t="str">
        <f aca="false">IF(B261="","",IFERROR(INDEX(Listas!$B$2:$B$40,MATCH(B261,Listas!$A$2:$A$40,0)),""))</f>
        <v/>
      </c>
    </row>
    <row r="262" customFormat="false" ht="15" hidden="false" customHeight="false" outlineLevel="0" collapsed="false">
      <c r="A262" s="19"/>
      <c r="B262" s="17"/>
      <c r="C262" s="17"/>
      <c r="D262" s="18"/>
      <c r="E262" s="17"/>
      <c r="F262" s="22"/>
      <c r="G262" s="22"/>
      <c r="H262" s="22"/>
      <c r="I262" s="17"/>
      <c r="J262" s="20" t="str">
        <f aca="false">IF(B262="","",IFERROR(INDEX(Listas!$B$2:$B$40,MATCH(B262,Listas!$A$2:$A$40,0)),""))</f>
        <v/>
      </c>
    </row>
    <row r="263" customFormat="false" ht="15" hidden="false" customHeight="false" outlineLevel="0" collapsed="false">
      <c r="A263" s="19"/>
      <c r="B263" s="17"/>
      <c r="C263" s="17"/>
      <c r="D263" s="18"/>
      <c r="E263" s="17"/>
      <c r="F263" s="22"/>
      <c r="G263" s="22"/>
      <c r="H263" s="22"/>
      <c r="I263" s="17"/>
      <c r="J263" s="20" t="str">
        <f aca="false">IF(B263="","",IFERROR(INDEX(Listas!$B$2:$B$40,MATCH(B263,Listas!$A$2:$A$40,0)),""))</f>
        <v/>
      </c>
    </row>
    <row r="264" customFormat="false" ht="15" hidden="false" customHeight="false" outlineLevel="0" collapsed="false">
      <c r="A264" s="19"/>
      <c r="B264" s="17"/>
      <c r="C264" s="17"/>
      <c r="D264" s="18"/>
      <c r="E264" s="17"/>
      <c r="F264" s="22"/>
      <c r="G264" s="22"/>
      <c r="H264" s="22"/>
      <c r="I264" s="17"/>
      <c r="J264" s="20" t="str">
        <f aca="false">IF(B264="","",IFERROR(INDEX(Listas!$B$2:$B$40,MATCH(B264,Listas!$A$2:$A$40,0)),""))</f>
        <v/>
      </c>
    </row>
    <row r="265" customFormat="false" ht="15" hidden="false" customHeight="false" outlineLevel="0" collapsed="false">
      <c r="A265" s="19"/>
      <c r="B265" s="17"/>
      <c r="C265" s="17"/>
      <c r="D265" s="18"/>
      <c r="E265" s="17"/>
      <c r="F265" s="22"/>
      <c r="G265" s="22"/>
      <c r="H265" s="22"/>
      <c r="I265" s="17"/>
      <c r="J265" s="20" t="str">
        <f aca="false">IF(B265="","",IFERROR(INDEX(Listas!$B$2:$B$40,MATCH(B265,Listas!$A$2:$A$40,0)),""))</f>
        <v/>
      </c>
    </row>
    <row r="266" customFormat="false" ht="15" hidden="false" customHeight="false" outlineLevel="0" collapsed="false">
      <c r="A266" s="19"/>
      <c r="B266" s="17"/>
      <c r="C266" s="17"/>
      <c r="D266" s="18"/>
      <c r="E266" s="17"/>
      <c r="F266" s="22"/>
      <c r="G266" s="22"/>
      <c r="H266" s="22"/>
      <c r="I266" s="17"/>
      <c r="J266" s="20" t="str">
        <f aca="false">IF(B266="","",IFERROR(INDEX(Listas!$B$2:$B$40,MATCH(B266,Listas!$A$2:$A$40,0)),""))</f>
        <v/>
      </c>
    </row>
    <row r="267" customFormat="false" ht="15" hidden="false" customHeight="false" outlineLevel="0" collapsed="false">
      <c r="A267" s="19"/>
      <c r="B267" s="17"/>
      <c r="C267" s="17"/>
      <c r="D267" s="18"/>
      <c r="E267" s="17"/>
      <c r="F267" s="22"/>
      <c r="G267" s="22"/>
      <c r="H267" s="22"/>
      <c r="I267" s="17"/>
      <c r="J267" s="20" t="str">
        <f aca="false">IF(B267="","",IFERROR(INDEX(Listas!$B$2:$B$40,MATCH(B267,Listas!$A$2:$A$40,0)),""))</f>
        <v/>
      </c>
    </row>
    <row r="268" customFormat="false" ht="15" hidden="false" customHeight="false" outlineLevel="0" collapsed="false">
      <c r="A268" s="19"/>
      <c r="B268" s="17"/>
      <c r="C268" s="17"/>
      <c r="D268" s="18"/>
      <c r="E268" s="17"/>
      <c r="F268" s="22"/>
      <c r="G268" s="22"/>
      <c r="H268" s="22"/>
      <c r="I268" s="17"/>
      <c r="J268" s="20" t="str">
        <f aca="false">IF(B268="","",IFERROR(INDEX(Listas!$B$2:$B$40,MATCH(B268,Listas!$A$2:$A$40,0)),""))</f>
        <v/>
      </c>
    </row>
    <row r="269" customFormat="false" ht="15" hidden="false" customHeight="false" outlineLevel="0" collapsed="false">
      <c r="A269" s="19"/>
      <c r="B269" s="17"/>
      <c r="C269" s="17"/>
      <c r="D269" s="18"/>
      <c r="E269" s="17"/>
      <c r="F269" s="22"/>
      <c r="G269" s="22"/>
      <c r="H269" s="22"/>
      <c r="I269" s="17"/>
      <c r="J269" s="20" t="str">
        <f aca="false">IF(B269="","",IFERROR(INDEX(Listas!$B$2:$B$40,MATCH(B269,Listas!$A$2:$A$40,0)),""))</f>
        <v/>
      </c>
    </row>
    <row r="270" customFormat="false" ht="15" hidden="false" customHeight="false" outlineLevel="0" collapsed="false">
      <c r="A270" s="19"/>
      <c r="B270" s="17"/>
      <c r="C270" s="17"/>
      <c r="D270" s="18"/>
      <c r="E270" s="17"/>
      <c r="F270" s="22"/>
      <c r="G270" s="22"/>
      <c r="H270" s="22"/>
      <c r="I270" s="17"/>
      <c r="J270" s="20" t="str">
        <f aca="false">IF(B270="","",IFERROR(INDEX(Listas!$B$2:$B$40,MATCH(B270,Listas!$A$2:$A$40,0)),""))</f>
        <v/>
      </c>
    </row>
    <row r="271" customFormat="false" ht="15" hidden="false" customHeight="false" outlineLevel="0" collapsed="false">
      <c r="A271" s="19"/>
      <c r="B271" s="17"/>
      <c r="C271" s="17"/>
      <c r="D271" s="18"/>
      <c r="E271" s="17"/>
      <c r="F271" s="22"/>
      <c r="G271" s="22"/>
      <c r="H271" s="22"/>
      <c r="I271" s="17"/>
      <c r="J271" s="20" t="str">
        <f aca="false">IF(B271="","",IFERROR(INDEX(Listas!$B$2:$B$40,MATCH(B271,Listas!$A$2:$A$40,0)),""))</f>
        <v/>
      </c>
    </row>
    <row r="272" customFormat="false" ht="15" hidden="false" customHeight="false" outlineLevel="0" collapsed="false">
      <c r="A272" s="19"/>
      <c r="B272" s="17"/>
      <c r="C272" s="17"/>
      <c r="D272" s="18"/>
      <c r="E272" s="17"/>
      <c r="F272" s="22"/>
      <c r="G272" s="22"/>
      <c r="H272" s="22"/>
      <c r="I272" s="17"/>
      <c r="J272" s="20" t="str">
        <f aca="false">IF(B272="","",IFERROR(INDEX(Listas!$B$2:$B$40,MATCH(B272,Listas!$A$2:$A$40,0)),""))</f>
        <v/>
      </c>
    </row>
    <row r="273" customFormat="false" ht="15" hidden="false" customHeight="false" outlineLevel="0" collapsed="false">
      <c r="A273" s="19"/>
      <c r="B273" s="17"/>
      <c r="C273" s="17"/>
      <c r="D273" s="18"/>
      <c r="E273" s="17"/>
      <c r="F273" s="22"/>
      <c r="G273" s="22"/>
      <c r="H273" s="22"/>
      <c r="I273" s="17"/>
      <c r="J273" s="20" t="str">
        <f aca="false">IF(B273="","",IFERROR(INDEX(Listas!$B$2:$B$40,MATCH(B273,Listas!$A$2:$A$40,0)),""))</f>
        <v/>
      </c>
    </row>
    <row r="274" customFormat="false" ht="15" hidden="false" customHeight="false" outlineLevel="0" collapsed="false">
      <c r="A274" s="19"/>
      <c r="B274" s="17"/>
      <c r="C274" s="17"/>
      <c r="D274" s="18"/>
      <c r="E274" s="17"/>
      <c r="F274" s="22"/>
      <c r="G274" s="22"/>
      <c r="H274" s="22"/>
      <c r="I274" s="17"/>
      <c r="J274" s="20" t="str">
        <f aca="false">IF(B274="","",IFERROR(INDEX(Listas!$B$2:$B$40,MATCH(B274,Listas!$A$2:$A$40,0)),""))</f>
        <v/>
      </c>
    </row>
    <row r="275" customFormat="false" ht="15" hidden="false" customHeight="false" outlineLevel="0" collapsed="false">
      <c r="A275" s="19"/>
      <c r="B275" s="17"/>
      <c r="C275" s="17"/>
      <c r="D275" s="18"/>
      <c r="E275" s="17"/>
      <c r="F275" s="22"/>
      <c r="G275" s="22"/>
      <c r="H275" s="22"/>
      <c r="I275" s="17"/>
      <c r="J275" s="20" t="str">
        <f aca="false">IF(B275="","",IFERROR(INDEX(Listas!$B$2:$B$40,MATCH(B275,Listas!$A$2:$A$40,0)),""))</f>
        <v/>
      </c>
    </row>
    <row r="276" customFormat="false" ht="15" hidden="false" customHeight="false" outlineLevel="0" collapsed="false">
      <c r="A276" s="19"/>
      <c r="B276" s="17"/>
      <c r="C276" s="17"/>
      <c r="D276" s="18"/>
      <c r="E276" s="17"/>
      <c r="F276" s="22"/>
      <c r="G276" s="22"/>
      <c r="H276" s="22"/>
      <c r="I276" s="17"/>
      <c r="J276" s="20" t="str">
        <f aca="false">IF(B276="","",IFERROR(INDEX(Listas!$B$2:$B$40,MATCH(B276,Listas!$A$2:$A$40,0)),""))</f>
        <v/>
      </c>
    </row>
    <row r="277" customFormat="false" ht="15" hidden="false" customHeight="false" outlineLevel="0" collapsed="false">
      <c r="A277" s="19"/>
      <c r="B277" s="17"/>
      <c r="C277" s="17"/>
      <c r="D277" s="18"/>
      <c r="E277" s="17"/>
      <c r="F277" s="22"/>
      <c r="G277" s="22"/>
      <c r="H277" s="22"/>
      <c r="I277" s="17"/>
      <c r="J277" s="20" t="str">
        <f aca="false">IF(B277="","",IFERROR(INDEX(Listas!$B$2:$B$40,MATCH(B277,Listas!$A$2:$A$40,0)),""))</f>
        <v/>
      </c>
    </row>
    <row r="278" customFormat="false" ht="15" hidden="false" customHeight="false" outlineLevel="0" collapsed="false">
      <c r="A278" s="19"/>
      <c r="B278" s="17"/>
      <c r="C278" s="17"/>
      <c r="D278" s="18"/>
      <c r="E278" s="17"/>
      <c r="F278" s="22"/>
      <c r="G278" s="22"/>
      <c r="H278" s="22"/>
      <c r="I278" s="17"/>
      <c r="J278" s="20" t="str">
        <f aca="false">IF(B278="","",IFERROR(INDEX(Listas!$B$2:$B$40,MATCH(B278,Listas!$A$2:$A$40,0)),""))</f>
        <v/>
      </c>
    </row>
    <row r="279" customFormat="false" ht="15" hidden="false" customHeight="false" outlineLevel="0" collapsed="false">
      <c r="A279" s="19"/>
      <c r="B279" s="17"/>
      <c r="C279" s="17"/>
      <c r="D279" s="18"/>
      <c r="E279" s="17"/>
      <c r="F279" s="22"/>
      <c r="G279" s="22"/>
      <c r="H279" s="22"/>
      <c r="I279" s="17"/>
      <c r="J279" s="20" t="str">
        <f aca="false">IF(B279="","",IFERROR(INDEX(Listas!$B$2:$B$40,MATCH(B279,Listas!$A$2:$A$40,0)),""))</f>
        <v/>
      </c>
    </row>
    <row r="280" customFormat="false" ht="15" hidden="false" customHeight="false" outlineLevel="0" collapsed="false">
      <c r="A280" s="19"/>
      <c r="B280" s="17"/>
      <c r="C280" s="17"/>
      <c r="D280" s="18"/>
      <c r="E280" s="17"/>
      <c r="F280" s="22"/>
      <c r="G280" s="22"/>
      <c r="H280" s="22"/>
      <c r="I280" s="17"/>
      <c r="J280" s="20" t="str">
        <f aca="false">IF(B280="","",IFERROR(INDEX(Listas!$B$2:$B$40,MATCH(B280,Listas!$A$2:$A$40,0)),""))</f>
        <v/>
      </c>
    </row>
    <row r="281" customFormat="false" ht="15" hidden="false" customHeight="false" outlineLevel="0" collapsed="false">
      <c r="A281" s="19"/>
      <c r="B281" s="17"/>
      <c r="C281" s="17"/>
      <c r="D281" s="18"/>
      <c r="E281" s="17"/>
      <c r="F281" s="22"/>
      <c r="G281" s="22"/>
      <c r="H281" s="22"/>
      <c r="I281" s="17"/>
      <c r="J281" s="20" t="str">
        <f aca="false">IF(B281="","",IFERROR(INDEX(Listas!$B$2:$B$40,MATCH(B281,Listas!$A$2:$A$40,0)),""))</f>
        <v/>
      </c>
    </row>
    <row r="282" customFormat="false" ht="15" hidden="false" customHeight="false" outlineLevel="0" collapsed="false">
      <c r="A282" s="19"/>
      <c r="B282" s="17"/>
      <c r="C282" s="17"/>
      <c r="D282" s="18"/>
      <c r="E282" s="17"/>
      <c r="F282" s="22"/>
      <c r="G282" s="22"/>
      <c r="H282" s="22"/>
      <c r="I282" s="17"/>
      <c r="J282" s="20" t="str">
        <f aca="false">IF(B282="","",IFERROR(INDEX(Listas!$B$2:$B$40,MATCH(B282,Listas!$A$2:$A$40,0)),""))</f>
        <v/>
      </c>
    </row>
    <row r="283" customFormat="false" ht="15" hidden="false" customHeight="false" outlineLevel="0" collapsed="false">
      <c r="A283" s="19"/>
      <c r="B283" s="17"/>
      <c r="C283" s="17"/>
      <c r="D283" s="18"/>
      <c r="E283" s="17"/>
      <c r="F283" s="22"/>
      <c r="G283" s="22"/>
      <c r="H283" s="22"/>
      <c r="I283" s="17"/>
      <c r="J283" s="20" t="str">
        <f aca="false">IF(B283="","",IFERROR(INDEX(Listas!$B$2:$B$40,MATCH(B283,Listas!$A$2:$A$40,0)),""))</f>
        <v/>
      </c>
    </row>
    <row r="284" customFormat="false" ht="15" hidden="false" customHeight="false" outlineLevel="0" collapsed="false">
      <c r="A284" s="19"/>
      <c r="B284" s="17"/>
      <c r="C284" s="17"/>
      <c r="D284" s="18"/>
      <c r="E284" s="17"/>
      <c r="F284" s="22"/>
      <c r="G284" s="22"/>
      <c r="H284" s="22"/>
      <c r="I284" s="17"/>
      <c r="J284" s="20" t="str">
        <f aca="false">IF(B284="","",IFERROR(INDEX(Listas!$B$2:$B$40,MATCH(B284,Listas!$A$2:$A$40,0)),""))</f>
        <v/>
      </c>
    </row>
    <row r="285" customFormat="false" ht="15" hidden="false" customHeight="false" outlineLevel="0" collapsed="false">
      <c r="A285" s="19"/>
      <c r="B285" s="17"/>
      <c r="C285" s="17"/>
      <c r="D285" s="18"/>
      <c r="E285" s="17"/>
      <c r="F285" s="22"/>
      <c r="G285" s="22"/>
      <c r="H285" s="22"/>
      <c r="I285" s="17"/>
      <c r="J285" s="20" t="str">
        <f aca="false">IF(B285="","",IFERROR(INDEX(Listas!$B$2:$B$40,MATCH(B285,Listas!$A$2:$A$40,0)),""))</f>
        <v/>
      </c>
    </row>
    <row r="286" customFormat="false" ht="15" hidden="false" customHeight="false" outlineLevel="0" collapsed="false">
      <c r="A286" s="19"/>
      <c r="B286" s="17"/>
      <c r="C286" s="17"/>
      <c r="D286" s="18"/>
      <c r="E286" s="17"/>
      <c r="F286" s="22"/>
      <c r="G286" s="22"/>
      <c r="H286" s="22"/>
      <c r="I286" s="17"/>
      <c r="J286" s="20" t="str">
        <f aca="false">IF(B286="","",IFERROR(INDEX(Listas!$B$2:$B$40,MATCH(B286,Listas!$A$2:$A$40,0)),""))</f>
        <v/>
      </c>
    </row>
    <row r="287" customFormat="false" ht="15" hidden="false" customHeight="false" outlineLevel="0" collapsed="false">
      <c r="A287" s="19"/>
      <c r="B287" s="17"/>
      <c r="C287" s="17"/>
      <c r="D287" s="18"/>
      <c r="E287" s="17"/>
      <c r="F287" s="22"/>
      <c r="G287" s="22"/>
      <c r="H287" s="22"/>
      <c r="I287" s="17"/>
      <c r="J287" s="20" t="str">
        <f aca="false">IF(B287="","",IFERROR(INDEX(Listas!$B$2:$B$40,MATCH(B287,Listas!$A$2:$A$40,0)),""))</f>
        <v/>
      </c>
    </row>
    <row r="288" customFormat="false" ht="15" hidden="false" customHeight="false" outlineLevel="0" collapsed="false">
      <c r="A288" s="19"/>
      <c r="B288" s="17"/>
      <c r="C288" s="17"/>
      <c r="D288" s="18"/>
      <c r="E288" s="17"/>
      <c r="F288" s="22"/>
      <c r="G288" s="22"/>
      <c r="H288" s="22"/>
      <c r="I288" s="17"/>
      <c r="J288" s="20" t="str">
        <f aca="false">IF(B288="","",IFERROR(INDEX(Listas!$B$2:$B$40,MATCH(B288,Listas!$A$2:$A$40,0)),""))</f>
        <v/>
      </c>
    </row>
    <row r="289" customFormat="false" ht="15" hidden="false" customHeight="false" outlineLevel="0" collapsed="false">
      <c r="A289" s="19"/>
      <c r="B289" s="17"/>
      <c r="C289" s="17"/>
      <c r="D289" s="18"/>
      <c r="E289" s="17"/>
      <c r="F289" s="22"/>
      <c r="G289" s="22"/>
      <c r="H289" s="22"/>
      <c r="I289" s="17"/>
      <c r="J289" s="20" t="str">
        <f aca="false">IF(B289="","",IFERROR(INDEX(Listas!$B$2:$B$40,MATCH(B289,Listas!$A$2:$A$40,0)),""))</f>
        <v/>
      </c>
    </row>
    <row r="290" customFormat="false" ht="15" hidden="false" customHeight="false" outlineLevel="0" collapsed="false">
      <c r="A290" s="19"/>
      <c r="B290" s="17"/>
      <c r="C290" s="17"/>
      <c r="D290" s="18"/>
      <c r="E290" s="17"/>
      <c r="F290" s="22"/>
      <c r="G290" s="22"/>
      <c r="H290" s="22"/>
      <c r="I290" s="17"/>
      <c r="J290" s="20" t="str">
        <f aca="false">IF(B290="","",IFERROR(INDEX(Listas!$B$2:$B$40,MATCH(B290,Listas!$A$2:$A$40,0)),""))</f>
        <v/>
      </c>
    </row>
    <row r="291" customFormat="false" ht="15" hidden="false" customHeight="false" outlineLevel="0" collapsed="false">
      <c r="A291" s="19"/>
      <c r="B291" s="17"/>
      <c r="C291" s="17"/>
      <c r="D291" s="18"/>
      <c r="E291" s="17"/>
      <c r="F291" s="22"/>
      <c r="G291" s="22"/>
      <c r="H291" s="22"/>
      <c r="I291" s="17"/>
      <c r="J291" s="20" t="str">
        <f aca="false">IF(B291="","",IFERROR(INDEX(Listas!$B$2:$B$40,MATCH(B291,Listas!$A$2:$A$40,0)),""))</f>
        <v/>
      </c>
    </row>
    <row r="292" customFormat="false" ht="15" hidden="false" customHeight="false" outlineLevel="0" collapsed="false">
      <c r="A292" s="19"/>
      <c r="B292" s="17"/>
      <c r="C292" s="17"/>
      <c r="D292" s="18"/>
      <c r="E292" s="17"/>
      <c r="F292" s="22"/>
      <c r="G292" s="22"/>
      <c r="H292" s="22"/>
      <c r="I292" s="17"/>
      <c r="J292" s="20" t="str">
        <f aca="false">IF(B292="","",IFERROR(INDEX(Listas!$B$2:$B$40,MATCH(B292,Listas!$A$2:$A$40,0)),""))</f>
        <v/>
      </c>
    </row>
    <row r="293" customFormat="false" ht="15" hidden="false" customHeight="false" outlineLevel="0" collapsed="false">
      <c r="A293" s="19"/>
      <c r="B293" s="17"/>
      <c r="C293" s="17"/>
      <c r="D293" s="18"/>
      <c r="E293" s="17"/>
      <c r="F293" s="22"/>
      <c r="G293" s="22"/>
      <c r="H293" s="22"/>
      <c r="I293" s="17"/>
      <c r="J293" s="20" t="str">
        <f aca="false">IF(B293="","",IFERROR(INDEX(Listas!$B$2:$B$40,MATCH(B293,Listas!$A$2:$A$40,0)),""))</f>
        <v/>
      </c>
    </row>
    <row r="294" customFormat="false" ht="15" hidden="false" customHeight="false" outlineLevel="0" collapsed="false">
      <c r="A294" s="19"/>
      <c r="B294" s="17"/>
      <c r="C294" s="17"/>
      <c r="D294" s="18"/>
      <c r="E294" s="17"/>
      <c r="F294" s="22"/>
      <c r="G294" s="22"/>
      <c r="H294" s="22"/>
      <c r="I294" s="17"/>
      <c r="J294" s="20" t="str">
        <f aca="false">IF(B294="","",IFERROR(INDEX(Listas!$B$2:$B$40,MATCH(B294,Listas!$A$2:$A$40,0)),""))</f>
        <v/>
      </c>
    </row>
    <row r="295" customFormat="false" ht="15" hidden="false" customHeight="false" outlineLevel="0" collapsed="false">
      <c r="A295" s="19"/>
      <c r="B295" s="17"/>
      <c r="C295" s="17"/>
      <c r="D295" s="18"/>
      <c r="E295" s="17"/>
      <c r="F295" s="22"/>
      <c r="G295" s="22"/>
      <c r="H295" s="22"/>
      <c r="I295" s="17"/>
      <c r="J295" s="20" t="str">
        <f aca="false">IF(B295="","",IFERROR(INDEX(Listas!$B$2:$B$40,MATCH(B295,Listas!$A$2:$A$40,0)),""))</f>
        <v/>
      </c>
    </row>
    <row r="296" customFormat="false" ht="15" hidden="false" customHeight="false" outlineLevel="0" collapsed="false">
      <c r="A296" s="19"/>
      <c r="B296" s="17"/>
      <c r="C296" s="17"/>
      <c r="D296" s="18"/>
      <c r="E296" s="17"/>
      <c r="F296" s="22"/>
      <c r="G296" s="22"/>
      <c r="H296" s="22"/>
      <c r="I296" s="17"/>
      <c r="J296" s="20" t="str">
        <f aca="false">IF(B296="","",IFERROR(INDEX(Listas!$B$2:$B$40,MATCH(B296,Listas!$A$2:$A$40,0)),""))</f>
        <v/>
      </c>
    </row>
    <row r="297" customFormat="false" ht="15" hidden="false" customHeight="false" outlineLevel="0" collapsed="false">
      <c r="A297" s="19"/>
      <c r="B297" s="17"/>
      <c r="C297" s="17"/>
      <c r="D297" s="18"/>
      <c r="E297" s="17"/>
      <c r="F297" s="22"/>
      <c r="G297" s="22"/>
      <c r="H297" s="22"/>
      <c r="I297" s="17"/>
      <c r="J297" s="20" t="str">
        <f aca="false">IF(B297="","",IFERROR(INDEX(Listas!$B$2:$B$40,MATCH(B297,Listas!$A$2:$A$40,0)),""))</f>
        <v/>
      </c>
    </row>
    <row r="298" customFormat="false" ht="15" hidden="false" customHeight="false" outlineLevel="0" collapsed="false">
      <c r="A298" s="19"/>
      <c r="B298" s="17"/>
      <c r="C298" s="17"/>
      <c r="D298" s="18"/>
      <c r="E298" s="17"/>
      <c r="F298" s="22"/>
      <c r="G298" s="22"/>
      <c r="H298" s="22"/>
      <c r="I298" s="17"/>
      <c r="J298" s="20" t="str">
        <f aca="false">IF(B298="","",IFERROR(INDEX(Listas!$B$2:$B$40,MATCH(B298,Listas!$A$2:$A$40,0)),""))</f>
        <v/>
      </c>
    </row>
    <row r="299" customFormat="false" ht="15" hidden="false" customHeight="false" outlineLevel="0" collapsed="false">
      <c r="A299" s="19"/>
      <c r="B299" s="17"/>
      <c r="C299" s="17"/>
      <c r="D299" s="18"/>
      <c r="E299" s="17"/>
      <c r="F299" s="22"/>
      <c r="G299" s="22"/>
      <c r="H299" s="22"/>
      <c r="I299" s="17"/>
      <c r="J299" s="20" t="str">
        <f aca="false">IF(B299="","",IFERROR(INDEX(Listas!$B$2:$B$40,MATCH(B299,Listas!$A$2:$A$40,0)),""))</f>
        <v/>
      </c>
    </row>
    <row r="300" customFormat="false" ht="15" hidden="false" customHeight="false" outlineLevel="0" collapsed="false">
      <c r="A300" s="19"/>
      <c r="B300" s="17"/>
      <c r="C300" s="17"/>
      <c r="D300" s="18"/>
      <c r="E300" s="17"/>
      <c r="F300" s="22"/>
      <c r="G300" s="22"/>
      <c r="H300" s="22"/>
      <c r="I300" s="17"/>
      <c r="J300" s="20" t="str">
        <f aca="false">IF(B300="","",IFERROR(INDEX(Listas!$B$2:$B$40,MATCH(B300,Listas!$A$2:$A$40,0)),""))</f>
        <v/>
      </c>
    </row>
    <row r="301" customFormat="false" ht="15" hidden="false" customHeight="false" outlineLevel="0" collapsed="false">
      <c r="A301" s="19"/>
      <c r="B301" s="17"/>
      <c r="C301" s="17"/>
      <c r="D301" s="18"/>
      <c r="E301" s="17"/>
      <c r="F301" s="22"/>
      <c r="G301" s="22"/>
      <c r="H301" s="22"/>
      <c r="I301" s="17"/>
      <c r="J301" s="20" t="str">
        <f aca="false">IF(B301="","",IFERROR(INDEX(Listas!$B$2:$B$40,MATCH(B301,Listas!$A$2:$A$40,0)),""))</f>
        <v/>
      </c>
    </row>
    <row r="302" customFormat="false" ht="15" hidden="false" customHeight="false" outlineLevel="0" collapsed="false">
      <c r="A302" s="19"/>
      <c r="B302" s="17"/>
      <c r="C302" s="17"/>
      <c r="D302" s="18"/>
      <c r="E302" s="17"/>
      <c r="F302" s="22"/>
      <c r="G302" s="22"/>
      <c r="H302" s="22"/>
      <c r="I302" s="17"/>
      <c r="J302" s="20" t="str">
        <f aca="false">IF(B302="","",IFERROR(INDEX(Listas!$B$2:$B$40,MATCH(B302,Listas!$A$2:$A$40,0)),""))</f>
        <v/>
      </c>
    </row>
    <row r="303" customFormat="false" ht="15" hidden="false" customHeight="false" outlineLevel="0" collapsed="false">
      <c r="A303" s="19"/>
      <c r="B303" s="17"/>
      <c r="C303" s="17"/>
      <c r="D303" s="18"/>
      <c r="E303" s="17"/>
      <c r="F303" s="22"/>
      <c r="G303" s="22"/>
      <c r="H303" s="22"/>
      <c r="I303" s="17"/>
      <c r="J303" s="20" t="str">
        <f aca="false">IF(B303="","",IFERROR(INDEX(Listas!$B$2:$B$40,MATCH(B303,Listas!$A$2:$A$40,0)),""))</f>
        <v/>
      </c>
    </row>
    <row r="304" customFormat="false" ht="15" hidden="false" customHeight="false" outlineLevel="0" collapsed="false">
      <c r="A304" s="19"/>
      <c r="B304" s="17"/>
      <c r="C304" s="17"/>
      <c r="D304" s="18"/>
      <c r="E304" s="17"/>
      <c r="F304" s="22"/>
      <c r="G304" s="22"/>
      <c r="H304" s="22"/>
      <c r="I304" s="17"/>
      <c r="J304" s="20" t="str">
        <f aca="false">IF(B304="","",IFERROR(INDEX(Listas!$B$2:$B$40,MATCH(B304,Listas!$A$2:$A$40,0)),""))</f>
        <v/>
      </c>
    </row>
    <row r="305" customFormat="false" ht="15" hidden="false" customHeight="false" outlineLevel="0" collapsed="false">
      <c r="A305" s="19"/>
      <c r="B305" s="17"/>
      <c r="C305" s="17"/>
      <c r="D305" s="18"/>
      <c r="E305" s="17"/>
      <c r="F305" s="22"/>
      <c r="G305" s="22"/>
      <c r="H305" s="22"/>
      <c r="I305" s="17"/>
      <c r="J305" s="20" t="str">
        <f aca="false">IF(B305="","",IFERROR(INDEX(Listas!$B$2:$B$40,MATCH(B305,Listas!$A$2:$A$40,0)),""))</f>
        <v/>
      </c>
    </row>
    <row r="306" customFormat="false" ht="15" hidden="false" customHeight="false" outlineLevel="0" collapsed="false">
      <c r="A306" s="19"/>
      <c r="B306" s="17"/>
      <c r="C306" s="17"/>
      <c r="D306" s="18"/>
      <c r="E306" s="17"/>
      <c r="F306" s="22"/>
      <c r="G306" s="22"/>
      <c r="H306" s="22"/>
      <c r="I306" s="17"/>
      <c r="J306" s="20" t="str">
        <f aca="false">IF(B306="","",IFERROR(INDEX(Listas!$B$2:$B$40,MATCH(B306,Listas!$A$2:$A$40,0)),""))</f>
        <v/>
      </c>
    </row>
    <row r="307" customFormat="false" ht="15" hidden="false" customHeight="false" outlineLevel="0" collapsed="false">
      <c r="A307" s="19"/>
      <c r="B307" s="17"/>
      <c r="C307" s="17"/>
      <c r="D307" s="18"/>
      <c r="E307" s="17"/>
      <c r="F307" s="22"/>
      <c r="G307" s="22"/>
      <c r="H307" s="22"/>
      <c r="I307" s="17"/>
      <c r="J307" s="20" t="str">
        <f aca="false">IF(B307="","",IFERROR(INDEX(Listas!$B$2:$B$40,MATCH(B307,Listas!$A$2:$A$40,0)),""))</f>
        <v/>
      </c>
    </row>
    <row r="308" customFormat="false" ht="15" hidden="false" customHeight="false" outlineLevel="0" collapsed="false">
      <c r="A308" s="19"/>
      <c r="B308" s="17"/>
      <c r="C308" s="17"/>
      <c r="D308" s="18"/>
      <c r="E308" s="17"/>
      <c r="F308" s="22"/>
      <c r="G308" s="22"/>
      <c r="H308" s="22"/>
      <c r="I308" s="17"/>
      <c r="J308" s="20" t="str">
        <f aca="false">IF(B308="","",IFERROR(INDEX(Listas!$B$2:$B$40,MATCH(B308,Listas!$A$2:$A$40,0)),""))</f>
        <v/>
      </c>
    </row>
    <row r="309" customFormat="false" ht="15" hidden="false" customHeight="false" outlineLevel="0" collapsed="false">
      <c r="A309" s="19"/>
      <c r="B309" s="17"/>
      <c r="C309" s="17"/>
      <c r="D309" s="18"/>
      <c r="E309" s="17"/>
      <c r="F309" s="22"/>
      <c r="G309" s="22"/>
      <c r="H309" s="22"/>
      <c r="I309" s="17"/>
      <c r="J309" s="20" t="str">
        <f aca="false">IF(B309="","",IFERROR(INDEX(Listas!$B$2:$B$40,MATCH(B309,Listas!$A$2:$A$40,0)),""))</f>
        <v/>
      </c>
    </row>
    <row r="310" customFormat="false" ht="15" hidden="false" customHeight="false" outlineLevel="0" collapsed="false">
      <c r="A310" s="19"/>
      <c r="B310" s="17"/>
      <c r="C310" s="17"/>
      <c r="D310" s="18"/>
      <c r="E310" s="17"/>
      <c r="F310" s="22"/>
      <c r="G310" s="22"/>
      <c r="H310" s="22"/>
      <c r="I310" s="17"/>
      <c r="J310" s="20" t="str">
        <f aca="false">IF(B310="","",IFERROR(INDEX(Listas!$B$2:$B$40,MATCH(B310,Listas!$A$2:$A$40,0)),""))</f>
        <v/>
      </c>
    </row>
    <row r="311" customFormat="false" ht="15" hidden="false" customHeight="false" outlineLevel="0" collapsed="false">
      <c r="A311" s="19"/>
      <c r="B311" s="17"/>
      <c r="C311" s="17"/>
      <c r="D311" s="18"/>
      <c r="E311" s="17"/>
      <c r="F311" s="22"/>
      <c r="G311" s="22"/>
      <c r="H311" s="22"/>
      <c r="I311" s="17"/>
      <c r="J311" s="20" t="str">
        <f aca="false">IF(B311="","",IFERROR(INDEX(Listas!$B$2:$B$40,MATCH(B311,Listas!$A$2:$A$40,0)),""))</f>
        <v/>
      </c>
    </row>
    <row r="312" customFormat="false" ht="15" hidden="false" customHeight="false" outlineLevel="0" collapsed="false">
      <c r="A312" s="19"/>
      <c r="B312" s="17"/>
      <c r="C312" s="17"/>
      <c r="D312" s="18"/>
      <c r="E312" s="17"/>
      <c r="F312" s="22"/>
      <c r="G312" s="22"/>
      <c r="H312" s="22"/>
      <c r="I312" s="17"/>
      <c r="J312" s="20" t="str">
        <f aca="false">IF(B312="","",IFERROR(INDEX(Listas!$B$2:$B$40,MATCH(B312,Listas!$A$2:$A$40,0)),""))</f>
        <v/>
      </c>
    </row>
    <row r="313" customFormat="false" ht="15" hidden="false" customHeight="false" outlineLevel="0" collapsed="false">
      <c r="A313" s="19"/>
      <c r="B313" s="17"/>
      <c r="C313" s="17"/>
      <c r="D313" s="18"/>
      <c r="E313" s="17"/>
      <c r="F313" s="22"/>
      <c r="G313" s="22"/>
      <c r="H313" s="22"/>
      <c r="I313" s="17"/>
      <c r="J313" s="20" t="str">
        <f aca="false">IF(B313="","",IFERROR(INDEX(Listas!$B$2:$B$40,MATCH(B313,Listas!$A$2:$A$40,0)),""))</f>
        <v/>
      </c>
    </row>
    <row r="314" customFormat="false" ht="15" hidden="false" customHeight="false" outlineLevel="0" collapsed="false">
      <c r="A314" s="19"/>
      <c r="B314" s="17"/>
      <c r="C314" s="17"/>
      <c r="D314" s="18"/>
      <c r="E314" s="17"/>
      <c r="F314" s="22"/>
      <c r="G314" s="22"/>
      <c r="H314" s="22"/>
      <c r="I314" s="17"/>
      <c r="J314" s="20" t="str">
        <f aca="false">IF(B314="","",IFERROR(INDEX(Listas!$B$2:$B$40,MATCH(B314,Listas!$A$2:$A$40,0)),""))</f>
        <v/>
      </c>
    </row>
    <row r="315" customFormat="false" ht="15" hidden="false" customHeight="false" outlineLevel="0" collapsed="false">
      <c r="A315" s="19"/>
      <c r="B315" s="17"/>
      <c r="C315" s="17"/>
      <c r="D315" s="18"/>
      <c r="E315" s="17"/>
      <c r="F315" s="22"/>
      <c r="G315" s="22"/>
      <c r="H315" s="22"/>
      <c r="I315" s="17"/>
      <c r="J315" s="20" t="str">
        <f aca="false">IF(B315="","",IFERROR(INDEX(Listas!$B$2:$B$40,MATCH(B315,Listas!$A$2:$A$40,0)),""))</f>
        <v/>
      </c>
    </row>
    <row r="316" customFormat="false" ht="15" hidden="false" customHeight="false" outlineLevel="0" collapsed="false">
      <c r="A316" s="19"/>
      <c r="B316" s="17"/>
      <c r="C316" s="17"/>
      <c r="D316" s="18"/>
      <c r="E316" s="17"/>
      <c r="F316" s="22"/>
      <c r="G316" s="22"/>
      <c r="H316" s="22"/>
      <c r="I316" s="17"/>
      <c r="J316" s="20" t="str">
        <f aca="false">IF(B316="","",IFERROR(INDEX(Listas!$B$2:$B$40,MATCH(B316,Listas!$A$2:$A$40,0)),""))</f>
        <v/>
      </c>
    </row>
    <row r="317" customFormat="false" ht="15" hidden="false" customHeight="false" outlineLevel="0" collapsed="false">
      <c r="A317" s="19"/>
      <c r="B317" s="17"/>
      <c r="C317" s="17"/>
      <c r="D317" s="18"/>
      <c r="E317" s="17"/>
      <c r="F317" s="22"/>
      <c r="G317" s="22"/>
      <c r="H317" s="22"/>
      <c r="I317" s="17"/>
      <c r="J317" s="20" t="str">
        <f aca="false">IF(B317="","",IFERROR(INDEX(Listas!$B$2:$B$40,MATCH(B317,Listas!$A$2:$A$40,0)),""))</f>
        <v/>
      </c>
    </row>
    <row r="318" customFormat="false" ht="15" hidden="false" customHeight="false" outlineLevel="0" collapsed="false">
      <c r="A318" s="19"/>
      <c r="B318" s="17"/>
      <c r="C318" s="17"/>
      <c r="D318" s="18"/>
      <c r="E318" s="17"/>
      <c r="F318" s="22"/>
      <c r="G318" s="22"/>
      <c r="H318" s="22"/>
      <c r="I318" s="17"/>
      <c r="J318" s="20" t="str">
        <f aca="false">IF(B318="","",IFERROR(INDEX(Listas!$B$2:$B$40,MATCH(B318,Listas!$A$2:$A$40,0)),""))</f>
        <v/>
      </c>
    </row>
    <row r="319" customFormat="false" ht="15" hidden="false" customHeight="false" outlineLevel="0" collapsed="false">
      <c r="A319" s="19"/>
      <c r="B319" s="17"/>
      <c r="C319" s="17"/>
      <c r="D319" s="18"/>
      <c r="E319" s="17"/>
      <c r="F319" s="22"/>
      <c r="G319" s="22"/>
      <c r="H319" s="22"/>
      <c r="I319" s="17"/>
      <c r="J319" s="20" t="str">
        <f aca="false">IF(B319="","",IFERROR(INDEX(Listas!$B$2:$B$40,MATCH(B319,Listas!$A$2:$A$40,0)),""))</f>
        <v/>
      </c>
    </row>
    <row r="320" customFormat="false" ht="15" hidden="false" customHeight="false" outlineLevel="0" collapsed="false">
      <c r="A320" s="19"/>
      <c r="B320" s="17"/>
      <c r="C320" s="17"/>
      <c r="D320" s="18"/>
      <c r="E320" s="17"/>
      <c r="F320" s="22"/>
      <c r="G320" s="22"/>
      <c r="H320" s="22"/>
      <c r="I320" s="17"/>
      <c r="J320" s="20" t="str">
        <f aca="false">IF(B320="","",IFERROR(INDEX(Listas!$B$2:$B$40,MATCH(B320,Listas!$A$2:$A$40,0)),""))</f>
        <v/>
      </c>
    </row>
    <row r="321" customFormat="false" ht="15" hidden="false" customHeight="false" outlineLevel="0" collapsed="false">
      <c r="A321" s="19"/>
      <c r="B321" s="17"/>
      <c r="C321" s="17"/>
      <c r="D321" s="18"/>
      <c r="E321" s="17"/>
      <c r="F321" s="22"/>
      <c r="G321" s="22"/>
      <c r="H321" s="22"/>
      <c r="I321" s="17"/>
      <c r="J321" s="20" t="str">
        <f aca="false">IF(B321="","",IFERROR(INDEX(Listas!$B$2:$B$40,MATCH(B321,Listas!$A$2:$A$40,0)),""))</f>
        <v/>
      </c>
    </row>
    <row r="322" customFormat="false" ht="15" hidden="false" customHeight="false" outlineLevel="0" collapsed="false">
      <c r="A322" s="19"/>
      <c r="B322" s="17"/>
      <c r="C322" s="17"/>
      <c r="D322" s="18"/>
      <c r="E322" s="17"/>
      <c r="F322" s="22"/>
      <c r="G322" s="22"/>
      <c r="H322" s="22"/>
      <c r="I322" s="17"/>
      <c r="J322" s="20" t="str">
        <f aca="false">IF(B322="","",IFERROR(INDEX(Listas!$B$2:$B$40,MATCH(B322,Listas!$A$2:$A$40,0)),""))</f>
        <v/>
      </c>
    </row>
    <row r="323" customFormat="false" ht="15" hidden="false" customHeight="false" outlineLevel="0" collapsed="false">
      <c r="A323" s="19"/>
      <c r="B323" s="17"/>
      <c r="C323" s="17"/>
      <c r="D323" s="18"/>
      <c r="E323" s="17"/>
      <c r="F323" s="22"/>
      <c r="G323" s="22"/>
      <c r="H323" s="22"/>
      <c r="I323" s="17"/>
      <c r="J323" s="20" t="str">
        <f aca="false">IF(B323="","",IFERROR(INDEX(Listas!$B$2:$B$40,MATCH(B323,Listas!$A$2:$A$40,0)),""))</f>
        <v/>
      </c>
    </row>
    <row r="324" customFormat="false" ht="15" hidden="false" customHeight="false" outlineLevel="0" collapsed="false">
      <c r="A324" s="19"/>
      <c r="B324" s="17"/>
      <c r="C324" s="17"/>
      <c r="D324" s="18"/>
      <c r="E324" s="17"/>
      <c r="F324" s="22"/>
      <c r="G324" s="22"/>
      <c r="H324" s="22"/>
      <c r="I324" s="17"/>
      <c r="J324" s="20" t="str">
        <f aca="false">IF(B324="","",IFERROR(INDEX(Listas!$B$2:$B$40,MATCH(B324,Listas!$A$2:$A$40,0)),""))</f>
        <v/>
      </c>
    </row>
    <row r="325" customFormat="false" ht="15" hidden="false" customHeight="false" outlineLevel="0" collapsed="false">
      <c r="A325" s="19"/>
      <c r="B325" s="17"/>
      <c r="C325" s="17"/>
      <c r="D325" s="18"/>
      <c r="E325" s="17"/>
      <c r="F325" s="22"/>
      <c r="G325" s="22"/>
      <c r="H325" s="22"/>
      <c r="I325" s="17"/>
      <c r="J325" s="20" t="str">
        <f aca="false">IF(B325="","",IFERROR(INDEX(Listas!$B$2:$B$40,MATCH(B325,Listas!$A$2:$A$40,0)),""))</f>
        <v/>
      </c>
    </row>
    <row r="326" customFormat="false" ht="15" hidden="false" customHeight="false" outlineLevel="0" collapsed="false">
      <c r="A326" s="19"/>
      <c r="B326" s="17"/>
      <c r="C326" s="17"/>
      <c r="D326" s="18"/>
      <c r="E326" s="17"/>
      <c r="F326" s="22"/>
      <c r="G326" s="22"/>
      <c r="H326" s="22"/>
      <c r="I326" s="17"/>
      <c r="J326" s="20" t="str">
        <f aca="false">IF(B326="","",IFERROR(INDEX(Listas!$B$2:$B$40,MATCH(B326,Listas!$A$2:$A$40,0)),""))</f>
        <v/>
      </c>
    </row>
    <row r="327" customFormat="false" ht="15" hidden="false" customHeight="false" outlineLevel="0" collapsed="false">
      <c r="A327" s="19"/>
      <c r="B327" s="17"/>
      <c r="C327" s="17"/>
      <c r="D327" s="18"/>
      <c r="E327" s="17"/>
      <c r="F327" s="22"/>
      <c r="G327" s="22"/>
      <c r="H327" s="22"/>
      <c r="I327" s="17"/>
      <c r="J327" s="20" t="str">
        <f aca="false">IF(B327="","",IFERROR(INDEX(Listas!$B$2:$B$40,MATCH(B327,Listas!$A$2:$A$40,0)),""))</f>
        <v/>
      </c>
    </row>
    <row r="328" customFormat="false" ht="15" hidden="false" customHeight="false" outlineLevel="0" collapsed="false">
      <c r="A328" s="19"/>
      <c r="B328" s="17"/>
      <c r="C328" s="17"/>
      <c r="D328" s="18"/>
      <c r="E328" s="17"/>
      <c r="F328" s="22"/>
      <c r="G328" s="22"/>
      <c r="H328" s="22"/>
      <c r="I328" s="17"/>
      <c r="J328" s="20" t="str">
        <f aca="false">IF(B328="","",IFERROR(INDEX(Listas!$B$2:$B$40,MATCH(B328,Listas!$A$2:$A$40,0)),""))</f>
        <v/>
      </c>
    </row>
    <row r="329" customFormat="false" ht="15" hidden="false" customHeight="false" outlineLevel="0" collapsed="false">
      <c r="A329" s="19"/>
      <c r="B329" s="17"/>
      <c r="C329" s="17"/>
      <c r="D329" s="18"/>
      <c r="E329" s="17"/>
      <c r="F329" s="22"/>
      <c r="G329" s="22"/>
      <c r="H329" s="22"/>
      <c r="I329" s="17"/>
      <c r="J329" s="20" t="str">
        <f aca="false">IF(B329="","",IFERROR(INDEX(Listas!$B$2:$B$40,MATCH(B329,Listas!$A$2:$A$40,0)),""))</f>
        <v/>
      </c>
    </row>
    <row r="330" customFormat="false" ht="15" hidden="false" customHeight="false" outlineLevel="0" collapsed="false">
      <c r="A330" s="19"/>
      <c r="B330" s="17"/>
      <c r="C330" s="17"/>
      <c r="D330" s="18"/>
      <c r="E330" s="17"/>
      <c r="F330" s="22"/>
      <c r="G330" s="22"/>
      <c r="H330" s="22"/>
      <c r="I330" s="17"/>
      <c r="J330" s="20" t="str">
        <f aca="false">IF(B330="","",IFERROR(INDEX(Listas!$B$2:$B$40,MATCH(B330,Listas!$A$2:$A$40,0)),""))</f>
        <v/>
      </c>
    </row>
    <row r="331" customFormat="false" ht="15" hidden="false" customHeight="false" outlineLevel="0" collapsed="false">
      <c r="A331" s="19"/>
      <c r="B331" s="17"/>
      <c r="C331" s="17"/>
      <c r="D331" s="18"/>
      <c r="E331" s="17"/>
      <c r="F331" s="22"/>
      <c r="G331" s="22"/>
      <c r="H331" s="22"/>
      <c r="I331" s="17"/>
      <c r="J331" s="20" t="str">
        <f aca="false">IF(B331="","",IFERROR(INDEX(Listas!$B$2:$B$40,MATCH(B331,Listas!$A$2:$A$40,0)),""))</f>
        <v/>
      </c>
    </row>
    <row r="332" customFormat="false" ht="15" hidden="false" customHeight="false" outlineLevel="0" collapsed="false">
      <c r="A332" s="19"/>
      <c r="B332" s="17"/>
      <c r="C332" s="17"/>
      <c r="D332" s="18"/>
      <c r="E332" s="17"/>
      <c r="F332" s="22"/>
      <c r="G332" s="22"/>
      <c r="H332" s="22"/>
      <c r="I332" s="17"/>
      <c r="J332" s="20" t="str">
        <f aca="false">IF(B332="","",IFERROR(INDEX(Listas!$B$2:$B$40,MATCH(B332,Listas!$A$2:$A$40,0)),""))</f>
        <v/>
      </c>
    </row>
    <row r="333" customFormat="false" ht="15" hidden="false" customHeight="false" outlineLevel="0" collapsed="false">
      <c r="A333" s="19"/>
      <c r="B333" s="17"/>
      <c r="C333" s="17"/>
      <c r="D333" s="18"/>
      <c r="E333" s="17"/>
      <c r="F333" s="22"/>
      <c r="G333" s="22"/>
      <c r="H333" s="22"/>
      <c r="I333" s="17"/>
      <c r="J333" s="20" t="str">
        <f aca="false">IF(B333="","",IFERROR(INDEX(Listas!$B$2:$B$40,MATCH(B333,Listas!$A$2:$A$40,0)),""))</f>
        <v/>
      </c>
    </row>
    <row r="334" customFormat="false" ht="15" hidden="false" customHeight="false" outlineLevel="0" collapsed="false">
      <c r="A334" s="19"/>
      <c r="B334" s="17"/>
      <c r="C334" s="17"/>
      <c r="D334" s="18"/>
      <c r="E334" s="17"/>
      <c r="F334" s="22"/>
      <c r="G334" s="22"/>
      <c r="H334" s="22"/>
      <c r="I334" s="17"/>
      <c r="J334" s="20" t="str">
        <f aca="false">IF(B334="","",IFERROR(INDEX(Listas!$B$2:$B$40,MATCH(B334,Listas!$A$2:$A$40,0)),""))</f>
        <v/>
      </c>
    </row>
    <row r="335" customFormat="false" ht="15" hidden="false" customHeight="false" outlineLevel="0" collapsed="false">
      <c r="A335" s="19"/>
      <c r="B335" s="17"/>
      <c r="C335" s="17"/>
      <c r="D335" s="18"/>
      <c r="E335" s="17"/>
      <c r="F335" s="22"/>
      <c r="G335" s="22"/>
      <c r="H335" s="22"/>
      <c r="I335" s="17"/>
      <c r="J335" s="20" t="str">
        <f aca="false">IF(B335="","",IFERROR(INDEX(Listas!$B$2:$B$40,MATCH(B335,Listas!$A$2:$A$40,0)),""))</f>
        <v/>
      </c>
    </row>
    <row r="336" customFormat="false" ht="15" hidden="false" customHeight="false" outlineLevel="0" collapsed="false">
      <c r="A336" s="19"/>
      <c r="B336" s="17"/>
      <c r="C336" s="17"/>
      <c r="D336" s="18"/>
      <c r="E336" s="17"/>
      <c r="F336" s="22"/>
      <c r="G336" s="22"/>
      <c r="H336" s="22"/>
      <c r="I336" s="17"/>
      <c r="J336" s="20" t="str">
        <f aca="false">IF(B336="","",IFERROR(INDEX(Listas!$B$2:$B$40,MATCH(B336,Listas!$A$2:$A$40,0)),""))</f>
        <v/>
      </c>
    </row>
    <row r="337" customFormat="false" ht="15" hidden="false" customHeight="false" outlineLevel="0" collapsed="false">
      <c r="A337" s="19"/>
      <c r="B337" s="17"/>
      <c r="C337" s="17"/>
      <c r="D337" s="18"/>
      <c r="E337" s="17"/>
      <c r="F337" s="22"/>
      <c r="G337" s="22"/>
      <c r="H337" s="22"/>
      <c r="I337" s="17"/>
      <c r="J337" s="20" t="str">
        <f aca="false">IF(B337="","",IFERROR(INDEX(Listas!$B$2:$B$40,MATCH(B337,Listas!$A$2:$A$40,0)),""))</f>
        <v/>
      </c>
    </row>
    <row r="338" customFormat="false" ht="15" hidden="false" customHeight="false" outlineLevel="0" collapsed="false">
      <c r="A338" s="19"/>
      <c r="B338" s="17"/>
      <c r="C338" s="17"/>
      <c r="D338" s="18"/>
      <c r="E338" s="17"/>
      <c r="F338" s="22"/>
      <c r="G338" s="22"/>
      <c r="H338" s="22"/>
      <c r="I338" s="17"/>
      <c r="J338" s="20" t="str">
        <f aca="false">IF(B338="","",IFERROR(INDEX(Listas!$B$2:$B$40,MATCH(B338,Listas!$A$2:$A$40,0)),""))</f>
        <v/>
      </c>
    </row>
    <row r="339" customFormat="false" ht="15" hidden="false" customHeight="false" outlineLevel="0" collapsed="false">
      <c r="A339" s="19"/>
      <c r="B339" s="17"/>
      <c r="C339" s="17"/>
      <c r="D339" s="18"/>
      <c r="E339" s="17"/>
      <c r="F339" s="22"/>
      <c r="G339" s="22"/>
      <c r="H339" s="22"/>
      <c r="I339" s="17"/>
      <c r="J339" s="20" t="str">
        <f aca="false">IF(B339="","",IFERROR(INDEX(Listas!$B$2:$B$40,MATCH(B339,Listas!$A$2:$A$40,0)),""))</f>
        <v/>
      </c>
    </row>
    <row r="340" customFormat="false" ht="15" hidden="false" customHeight="false" outlineLevel="0" collapsed="false">
      <c r="A340" s="19"/>
      <c r="B340" s="17"/>
      <c r="C340" s="17"/>
      <c r="D340" s="18"/>
      <c r="E340" s="17"/>
      <c r="F340" s="22"/>
      <c r="G340" s="22"/>
      <c r="H340" s="22"/>
      <c r="I340" s="17"/>
      <c r="J340" s="20" t="str">
        <f aca="false">IF(B340="","",IFERROR(INDEX(Listas!$B$2:$B$40,MATCH(B340,Listas!$A$2:$A$40,0)),""))</f>
        <v/>
      </c>
    </row>
    <row r="341" customFormat="false" ht="15" hidden="false" customHeight="false" outlineLevel="0" collapsed="false">
      <c r="A341" s="19"/>
      <c r="B341" s="17"/>
      <c r="C341" s="17"/>
      <c r="D341" s="18"/>
      <c r="E341" s="17"/>
      <c r="F341" s="22"/>
      <c r="G341" s="22"/>
      <c r="H341" s="22"/>
      <c r="I341" s="17"/>
      <c r="J341" s="20" t="str">
        <f aca="false">IF(B341="","",IFERROR(INDEX(Listas!$B$2:$B$40,MATCH(B341,Listas!$A$2:$A$40,0)),""))</f>
        <v/>
      </c>
    </row>
    <row r="342" customFormat="false" ht="15" hidden="false" customHeight="false" outlineLevel="0" collapsed="false">
      <c r="A342" s="19"/>
      <c r="B342" s="17"/>
      <c r="C342" s="17"/>
      <c r="D342" s="18"/>
      <c r="E342" s="17"/>
      <c r="F342" s="22"/>
      <c r="G342" s="22"/>
      <c r="H342" s="22"/>
      <c r="I342" s="17"/>
      <c r="J342" s="20" t="str">
        <f aca="false">IF(B342="","",IFERROR(INDEX(Listas!$B$2:$B$40,MATCH(B342,Listas!$A$2:$A$40,0)),""))</f>
        <v/>
      </c>
    </row>
    <row r="343" customFormat="false" ht="15" hidden="false" customHeight="false" outlineLevel="0" collapsed="false">
      <c r="A343" s="19"/>
      <c r="B343" s="17"/>
      <c r="C343" s="17"/>
      <c r="D343" s="18"/>
      <c r="E343" s="17"/>
      <c r="F343" s="22"/>
      <c r="G343" s="22"/>
      <c r="H343" s="22"/>
      <c r="I343" s="17"/>
      <c r="J343" s="20" t="str">
        <f aca="false">IF(B343="","",IFERROR(INDEX(Listas!$B$2:$B$40,MATCH(B343,Listas!$A$2:$A$40,0)),""))</f>
        <v/>
      </c>
    </row>
    <row r="344" customFormat="false" ht="15" hidden="false" customHeight="false" outlineLevel="0" collapsed="false">
      <c r="A344" s="19"/>
      <c r="B344" s="17"/>
      <c r="C344" s="17"/>
      <c r="D344" s="18"/>
      <c r="E344" s="17"/>
      <c r="F344" s="22"/>
      <c r="G344" s="22"/>
      <c r="H344" s="22"/>
      <c r="I344" s="17"/>
      <c r="J344" s="20" t="str">
        <f aca="false">IF(B344="","",IFERROR(INDEX(Listas!$B$2:$B$40,MATCH(B344,Listas!$A$2:$A$40,0)),""))</f>
        <v/>
      </c>
    </row>
    <row r="345" customFormat="false" ht="15" hidden="false" customHeight="false" outlineLevel="0" collapsed="false">
      <c r="A345" s="19"/>
      <c r="B345" s="17"/>
      <c r="C345" s="17"/>
      <c r="D345" s="18"/>
      <c r="E345" s="17"/>
      <c r="F345" s="22"/>
      <c r="G345" s="22"/>
      <c r="H345" s="22"/>
      <c r="I345" s="17"/>
      <c r="J345" s="20" t="str">
        <f aca="false">IF(B345="","",IFERROR(INDEX(Listas!$B$2:$B$40,MATCH(B345,Listas!$A$2:$A$40,0)),""))</f>
        <v/>
      </c>
    </row>
    <row r="346" customFormat="false" ht="15" hidden="false" customHeight="false" outlineLevel="0" collapsed="false">
      <c r="A346" s="19"/>
      <c r="B346" s="17"/>
      <c r="C346" s="17"/>
      <c r="D346" s="18"/>
      <c r="E346" s="17"/>
      <c r="F346" s="22"/>
      <c r="G346" s="22"/>
      <c r="H346" s="22"/>
      <c r="I346" s="17"/>
      <c r="J346" s="20" t="str">
        <f aca="false">IF(B346="","",IFERROR(INDEX(Listas!$B$2:$B$40,MATCH(B346,Listas!$A$2:$A$40,0)),""))</f>
        <v/>
      </c>
    </row>
    <row r="347" customFormat="false" ht="15" hidden="false" customHeight="false" outlineLevel="0" collapsed="false">
      <c r="A347" s="19"/>
      <c r="B347" s="17"/>
      <c r="C347" s="17"/>
      <c r="D347" s="18"/>
      <c r="E347" s="17"/>
      <c r="F347" s="22"/>
      <c r="G347" s="22"/>
      <c r="H347" s="22"/>
      <c r="I347" s="17"/>
      <c r="J347" s="20" t="str">
        <f aca="false">IF(B347="","",IFERROR(INDEX(Listas!$B$2:$B$40,MATCH(B347,Listas!$A$2:$A$40,0)),""))</f>
        <v/>
      </c>
    </row>
    <row r="348" customFormat="false" ht="15" hidden="false" customHeight="false" outlineLevel="0" collapsed="false">
      <c r="A348" s="19"/>
      <c r="B348" s="17"/>
      <c r="C348" s="17"/>
      <c r="D348" s="18"/>
      <c r="E348" s="17"/>
      <c r="F348" s="22"/>
      <c r="G348" s="22"/>
      <c r="H348" s="22"/>
      <c r="I348" s="17"/>
      <c r="J348" s="20" t="str">
        <f aca="false">IF(B348="","",IFERROR(INDEX(Listas!$B$2:$B$40,MATCH(B348,Listas!$A$2:$A$40,0)),""))</f>
        <v/>
      </c>
    </row>
    <row r="349" customFormat="false" ht="15" hidden="false" customHeight="false" outlineLevel="0" collapsed="false">
      <c r="A349" s="19"/>
      <c r="B349" s="17"/>
      <c r="C349" s="17"/>
      <c r="D349" s="18"/>
      <c r="E349" s="17"/>
      <c r="F349" s="22"/>
      <c r="G349" s="22"/>
      <c r="H349" s="22"/>
      <c r="I349" s="17"/>
      <c r="J349" s="20" t="str">
        <f aca="false">IF(B349="","",IFERROR(INDEX(Listas!$B$2:$B$40,MATCH(B349,Listas!$A$2:$A$40,0)),""))</f>
        <v/>
      </c>
    </row>
    <row r="350" customFormat="false" ht="15" hidden="false" customHeight="false" outlineLevel="0" collapsed="false">
      <c r="A350" s="19"/>
      <c r="B350" s="17"/>
      <c r="C350" s="17"/>
      <c r="D350" s="18"/>
      <c r="E350" s="17"/>
      <c r="F350" s="22"/>
      <c r="G350" s="22"/>
      <c r="H350" s="22"/>
      <c r="I350" s="17"/>
      <c r="J350" s="20" t="str">
        <f aca="false">IF(B350="","",IFERROR(INDEX(Listas!$B$2:$B$40,MATCH(B350,Listas!$A$2:$A$40,0)),""))</f>
        <v/>
      </c>
    </row>
    <row r="351" customFormat="false" ht="15" hidden="false" customHeight="false" outlineLevel="0" collapsed="false">
      <c r="A351" s="19"/>
      <c r="B351" s="17"/>
      <c r="C351" s="17"/>
      <c r="D351" s="18"/>
      <c r="E351" s="17"/>
      <c r="F351" s="22"/>
      <c r="G351" s="22"/>
      <c r="H351" s="22"/>
      <c r="I351" s="17"/>
      <c r="J351" s="20" t="str">
        <f aca="false">IF(B351="","",IFERROR(INDEX(Listas!$B$2:$B$40,MATCH(B351,Listas!$A$2:$A$40,0)),""))</f>
        <v/>
      </c>
    </row>
    <row r="352" customFormat="false" ht="15" hidden="false" customHeight="false" outlineLevel="0" collapsed="false">
      <c r="A352" s="19"/>
      <c r="B352" s="17"/>
      <c r="C352" s="17"/>
      <c r="D352" s="18"/>
      <c r="E352" s="17"/>
      <c r="F352" s="22"/>
      <c r="G352" s="22"/>
      <c r="H352" s="22"/>
      <c r="I352" s="17"/>
      <c r="J352" s="20" t="str">
        <f aca="false">IF(B352="","",IFERROR(INDEX(Listas!$B$2:$B$40,MATCH(B352,Listas!$A$2:$A$40,0)),""))</f>
        <v/>
      </c>
    </row>
    <row r="353" customFormat="false" ht="15" hidden="false" customHeight="false" outlineLevel="0" collapsed="false">
      <c r="A353" s="19"/>
      <c r="B353" s="17"/>
      <c r="C353" s="17"/>
      <c r="D353" s="18"/>
      <c r="E353" s="17"/>
      <c r="F353" s="22"/>
      <c r="G353" s="22"/>
      <c r="H353" s="22"/>
      <c r="I353" s="17"/>
      <c r="J353" s="20" t="str">
        <f aca="false">IF(B353="","",IFERROR(INDEX(Listas!$B$2:$B$40,MATCH(B353,Listas!$A$2:$A$40,0)),""))</f>
        <v/>
      </c>
    </row>
    <row r="354" customFormat="false" ht="15" hidden="false" customHeight="false" outlineLevel="0" collapsed="false">
      <c r="A354" s="19"/>
      <c r="B354" s="17"/>
      <c r="C354" s="17"/>
      <c r="D354" s="18"/>
      <c r="E354" s="17"/>
      <c r="F354" s="22"/>
      <c r="G354" s="22"/>
      <c r="H354" s="22"/>
      <c r="I354" s="17"/>
      <c r="J354" s="20" t="str">
        <f aca="false">IF(B354="","",IFERROR(INDEX(Listas!$B$2:$B$40,MATCH(B354,Listas!$A$2:$A$40,0)),""))</f>
        <v/>
      </c>
    </row>
    <row r="355" customFormat="false" ht="15" hidden="false" customHeight="false" outlineLevel="0" collapsed="false">
      <c r="A355" s="19"/>
      <c r="B355" s="17"/>
      <c r="C355" s="17"/>
      <c r="D355" s="18"/>
      <c r="E355" s="17"/>
      <c r="F355" s="22"/>
      <c r="G355" s="22"/>
      <c r="H355" s="22"/>
      <c r="I355" s="17"/>
      <c r="J355" s="20" t="str">
        <f aca="false">IF(B355="","",IFERROR(INDEX(Listas!$B$2:$B$40,MATCH(B355,Listas!$A$2:$A$40,0)),""))</f>
        <v/>
      </c>
    </row>
    <row r="356" customFormat="false" ht="15" hidden="false" customHeight="false" outlineLevel="0" collapsed="false">
      <c r="A356" s="19"/>
      <c r="B356" s="17"/>
      <c r="C356" s="17"/>
      <c r="D356" s="18"/>
      <c r="E356" s="17"/>
      <c r="F356" s="22"/>
      <c r="G356" s="22"/>
      <c r="H356" s="22"/>
      <c r="I356" s="17"/>
      <c r="J356" s="20" t="str">
        <f aca="false">IF(B356="","",IFERROR(INDEX(Listas!$B$2:$B$40,MATCH(B356,Listas!$A$2:$A$40,0)),""))</f>
        <v/>
      </c>
    </row>
    <row r="357" customFormat="false" ht="15" hidden="false" customHeight="false" outlineLevel="0" collapsed="false">
      <c r="A357" s="19"/>
      <c r="B357" s="17"/>
      <c r="C357" s="17"/>
      <c r="D357" s="18"/>
      <c r="E357" s="17"/>
      <c r="F357" s="22"/>
      <c r="G357" s="22"/>
      <c r="H357" s="22"/>
      <c r="I357" s="17"/>
      <c r="J357" s="20" t="str">
        <f aca="false">IF(B357="","",IFERROR(INDEX(Listas!$B$2:$B$40,MATCH(B357,Listas!$A$2:$A$40,0)),""))</f>
        <v/>
      </c>
    </row>
    <row r="358" customFormat="false" ht="15" hidden="false" customHeight="false" outlineLevel="0" collapsed="false">
      <c r="A358" s="19"/>
      <c r="B358" s="17"/>
      <c r="C358" s="17"/>
      <c r="D358" s="18"/>
      <c r="E358" s="17"/>
      <c r="F358" s="22"/>
      <c r="G358" s="22"/>
      <c r="H358" s="22"/>
      <c r="I358" s="17"/>
      <c r="J358" s="20" t="str">
        <f aca="false">IF(B358="","",IFERROR(INDEX(Listas!$B$2:$B$40,MATCH(B358,Listas!$A$2:$A$40,0)),""))</f>
        <v/>
      </c>
    </row>
    <row r="359" customFormat="false" ht="15" hidden="false" customHeight="false" outlineLevel="0" collapsed="false">
      <c r="A359" s="19"/>
      <c r="B359" s="17"/>
      <c r="C359" s="17"/>
      <c r="D359" s="18"/>
      <c r="E359" s="17"/>
      <c r="F359" s="22"/>
      <c r="G359" s="22"/>
      <c r="H359" s="22"/>
      <c r="I359" s="17"/>
      <c r="J359" s="20" t="str">
        <f aca="false">IF(B359="","",IFERROR(INDEX(Listas!$B$2:$B$40,MATCH(B359,Listas!$A$2:$A$40,0)),""))</f>
        <v/>
      </c>
    </row>
    <row r="360" customFormat="false" ht="15" hidden="false" customHeight="false" outlineLevel="0" collapsed="false">
      <c r="A360" s="19"/>
      <c r="B360" s="17"/>
      <c r="C360" s="17"/>
      <c r="D360" s="18"/>
      <c r="E360" s="17"/>
      <c r="F360" s="22"/>
      <c r="G360" s="22"/>
      <c r="H360" s="22"/>
      <c r="I360" s="17"/>
      <c r="J360" s="20" t="str">
        <f aca="false">IF(B360="","",IFERROR(INDEX(Listas!$B$2:$B$40,MATCH(B360,Listas!$A$2:$A$40,0)),""))</f>
        <v/>
      </c>
    </row>
    <row r="361" customFormat="false" ht="15" hidden="false" customHeight="false" outlineLevel="0" collapsed="false">
      <c r="A361" s="19"/>
      <c r="B361" s="17"/>
      <c r="C361" s="17"/>
      <c r="D361" s="18"/>
      <c r="E361" s="17"/>
      <c r="F361" s="22"/>
      <c r="G361" s="22"/>
      <c r="H361" s="22"/>
      <c r="I361" s="17"/>
      <c r="J361" s="20" t="str">
        <f aca="false">IF(B361="","",IFERROR(INDEX(Listas!$B$2:$B$40,MATCH(B361,Listas!$A$2:$A$40,0)),""))</f>
        <v/>
      </c>
    </row>
    <row r="362" customFormat="false" ht="15" hidden="false" customHeight="false" outlineLevel="0" collapsed="false">
      <c r="A362" s="19"/>
      <c r="B362" s="17"/>
      <c r="C362" s="17"/>
      <c r="D362" s="18"/>
      <c r="E362" s="17"/>
      <c r="F362" s="22"/>
      <c r="G362" s="22"/>
      <c r="H362" s="22"/>
      <c r="I362" s="17"/>
      <c r="J362" s="20" t="str">
        <f aca="false">IF(B362="","",IFERROR(INDEX(Listas!$B$2:$B$40,MATCH(B362,Listas!$A$2:$A$40,0)),""))</f>
        <v/>
      </c>
    </row>
    <row r="363" customFormat="false" ht="15" hidden="false" customHeight="false" outlineLevel="0" collapsed="false">
      <c r="A363" s="19"/>
      <c r="B363" s="17"/>
      <c r="C363" s="17"/>
      <c r="D363" s="18"/>
      <c r="E363" s="17"/>
      <c r="F363" s="22"/>
      <c r="G363" s="22"/>
      <c r="H363" s="22"/>
      <c r="I363" s="17"/>
      <c r="J363" s="20" t="str">
        <f aca="false">IF(B363="","",IFERROR(INDEX(Listas!$B$2:$B$40,MATCH(B363,Listas!$A$2:$A$40,0)),""))</f>
        <v/>
      </c>
    </row>
    <row r="364" customFormat="false" ht="15" hidden="false" customHeight="false" outlineLevel="0" collapsed="false">
      <c r="A364" s="19"/>
      <c r="B364" s="17"/>
      <c r="C364" s="17"/>
      <c r="D364" s="18"/>
      <c r="E364" s="17"/>
      <c r="F364" s="22"/>
      <c r="G364" s="22"/>
      <c r="H364" s="22"/>
      <c r="I364" s="17"/>
      <c r="J364" s="20" t="str">
        <f aca="false">IF(B364="","",IFERROR(INDEX(Listas!$B$2:$B$40,MATCH(B364,Listas!$A$2:$A$40,0)),""))</f>
        <v/>
      </c>
    </row>
    <row r="365" customFormat="false" ht="15" hidden="false" customHeight="false" outlineLevel="0" collapsed="false">
      <c r="A365" s="19"/>
      <c r="B365" s="17"/>
      <c r="C365" s="17"/>
      <c r="D365" s="18"/>
      <c r="E365" s="17"/>
      <c r="F365" s="22"/>
      <c r="G365" s="22"/>
      <c r="H365" s="22"/>
      <c r="I365" s="17"/>
      <c r="J365" s="20" t="str">
        <f aca="false">IF(B365="","",IFERROR(INDEX(Listas!$B$2:$B$40,MATCH(B365,Listas!$A$2:$A$40,0)),""))</f>
        <v/>
      </c>
    </row>
    <row r="366" customFormat="false" ht="15" hidden="false" customHeight="false" outlineLevel="0" collapsed="false">
      <c r="A366" s="19"/>
      <c r="B366" s="17"/>
      <c r="C366" s="17"/>
      <c r="D366" s="18"/>
      <c r="E366" s="17"/>
      <c r="F366" s="22"/>
      <c r="G366" s="22"/>
      <c r="H366" s="22"/>
      <c r="I366" s="17"/>
      <c r="J366" s="20" t="str">
        <f aca="false">IF(B366="","",IFERROR(INDEX(Listas!$B$2:$B$40,MATCH(B366,Listas!$A$2:$A$40,0)),""))</f>
        <v/>
      </c>
    </row>
    <row r="367" customFormat="false" ht="15" hidden="false" customHeight="false" outlineLevel="0" collapsed="false">
      <c r="A367" s="19"/>
      <c r="B367" s="17"/>
      <c r="C367" s="17"/>
      <c r="D367" s="18"/>
      <c r="E367" s="17"/>
      <c r="F367" s="22"/>
      <c r="G367" s="22"/>
      <c r="H367" s="22"/>
      <c r="I367" s="17"/>
      <c r="J367" s="20" t="str">
        <f aca="false">IF(B367="","",IFERROR(INDEX(Listas!$B$2:$B$40,MATCH(B367,Listas!$A$2:$A$40,0)),""))</f>
        <v/>
      </c>
    </row>
    <row r="368" customFormat="false" ht="15" hidden="false" customHeight="false" outlineLevel="0" collapsed="false">
      <c r="A368" s="19"/>
      <c r="B368" s="17"/>
      <c r="C368" s="17"/>
      <c r="D368" s="18"/>
      <c r="E368" s="17"/>
      <c r="F368" s="22"/>
      <c r="G368" s="22"/>
      <c r="H368" s="22"/>
      <c r="I368" s="17"/>
      <c r="J368" s="20" t="str">
        <f aca="false">IF(B368="","",IFERROR(INDEX(Listas!$B$2:$B$40,MATCH(B368,Listas!$A$2:$A$40,0)),""))</f>
        <v/>
      </c>
    </row>
    <row r="369" customFormat="false" ht="15" hidden="false" customHeight="false" outlineLevel="0" collapsed="false">
      <c r="A369" s="19"/>
      <c r="B369" s="17"/>
      <c r="C369" s="17"/>
      <c r="D369" s="18"/>
      <c r="E369" s="17"/>
      <c r="F369" s="22"/>
      <c r="G369" s="22"/>
      <c r="H369" s="22"/>
      <c r="I369" s="17"/>
      <c r="J369" s="20" t="str">
        <f aca="false">IF(B369="","",IFERROR(INDEX(Listas!$B$2:$B$40,MATCH(B369,Listas!$A$2:$A$40,0)),""))</f>
        <v/>
      </c>
    </row>
    <row r="370" customFormat="false" ht="15" hidden="false" customHeight="false" outlineLevel="0" collapsed="false">
      <c r="A370" s="19"/>
      <c r="B370" s="17"/>
      <c r="C370" s="17"/>
      <c r="D370" s="18"/>
      <c r="E370" s="17"/>
      <c r="F370" s="22"/>
      <c r="G370" s="22"/>
      <c r="H370" s="22"/>
      <c r="I370" s="17"/>
      <c r="J370" s="20" t="str">
        <f aca="false">IF(B370="","",IFERROR(INDEX(Listas!$B$2:$B$40,MATCH(B370,Listas!$A$2:$A$40,0)),""))</f>
        <v/>
      </c>
    </row>
    <row r="371" customFormat="false" ht="15" hidden="false" customHeight="false" outlineLevel="0" collapsed="false">
      <c r="A371" s="19"/>
      <c r="B371" s="17"/>
      <c r="C371" s="17"/>
      <c r="D371" s="18"/>
      <c r="E371" s="17"/>
      <c r="F371" s="22"/>
      <c r="G371" s="22"/>
      <c r="H371" s="22"/>
      <c r="I371" s="17"/>
      <c r="J371" s="20" t="str">
        <f aca="false">IF(B371="","",IFERROR(INDEX(Listas!$B$2:$B$40,MATCH(B371,Listas!$A$2:$A$40,0)),""))</f>
        <v/>
      </c>
    </row>
    <row r="372" customFormat="false" ht="15" hidden="false" customHeight="false" outlineLevel="0" collapsed="false">
      <c r="A372" s="19"/>
      <c r="B372" s="17"/>
      <c r="C372" s="17"/>
      <c r="D372" s="18"/>
      <c r="E372" s="17"/>
      <c r="F372" s="22"/>
      <c r="G372" s="22"/>
      <c r="H372" s="22"/>
      <c r="I372" s="17"/>
      <c r="J372" s="20" t="str">
        <f aca="false">IF(B372="","",IFERROR(INDEX(Listas!$B$2:$B$40,MATCH(B372,Listas!$A$2:$A$40,0)),""))</f>
        <v/>
      </c>
    </row>
    <row r="373" customFormat="false" ht="15" hidden="false" customHeight="false" outlineLevel="0" collapsed="false">
      <c r="A373" s="19"/>
      <c r="B373" s="17"/>
      <c r="C373" s="17"/>
      <c r="D373" s="18"/>
      <c r="E373" s="17"/>
      <c r="F373" s="22"/>
      <c r="G373" s="22"/>
      <c r="H373" s="22"/>
      <c r="I373" s="17"/>
      <c r="J373" s="20" t="str">
        <f aca="false">IF(B373="","",IFERROR(INDEX(Listas!$B$2:$B$40,MATCH(B373,Listas!$A$2:$A$40,0)),""))</f>
        <v/>
      </c>
    </row>
    <row r="374" customFormat="false" ht="15" hidden="false" customHeight="false" outlineLevel="0" collapsed="false">
      <c r="A374" s="19"/>
      <c r="B374" s="17"/>
      <c r="C374" s="17"/>
      <c r="D374" s="18"/>
      <c r="E374" s="17"/>
      <c r="F374" s="22"/>
      <c r="G374" s="22"/>
      <c r="H374" s="22"/>
      <c r="I374" s="17"/>
      <c r="J374" s="20" t="str">
        <f aca="false">IF(B374="","",IFERROR(INDEX(Listas!$B$2:$B$40,MATCH(B374,Listas!$A$2:$A$40,0)),""))</f>
        <v/>
      </c>
    </row>
    <row r="375" customFormat="false" ht="15" hidden="false" customHeight="false" outlineLevel="0" collapsed="false">
      <c r="A375" s="19"/>
      <c r="B375" s="17"/>
      <c r="C375" s="17"/>
      <c r="D375" s="18"/>
      <c r="E375" s="17"/>
      <c r="F375" s="22"/>
      <c r="G375" s="22"/>
      <c r="H375" s="22"/>
      <c r="I375" s="17"/>
      <c r="J375" s="20" t="str">
        <f aca="false">IF(B375="","",IFERROR(INDEX(Listas!$B$2:$B$40,MATCH(B375,Listas!$A$2:$A$40,0)),""))</f>
        <v/>
      </c>
    </row>
    <row r="376" customFormat="false" ht="15" hidden="false" customHeight="false" outlineLevel="0" collapsed="false">
      <c r="A376" s="19"/>
      <c r="B376" s="17"/>
      <c r="C376" s="17"/>
      <c r="D376" s="18"/>
      <c r="E376" s="17"/>
      <c r="F376" s="22"/>
      <c r="G376" s="22"/>
      <c r="H376" s="22"/>
      <c r="I376" s="17"/>
      <c r="J376" s="20" t="str">
        <f aca="false">IF(B376="","",IFERROR(INDEX(Listas!$B$2:$B$40,MATCH(B376,Listas!$A$2:$A$40,0)),""))</f>
        <v/>
      </c>
    </row>
    <row r="377" customFormat="false" ht="15" hidden="false" customHeight="false" outlineLevel="0" collapsed="false">
      <c r="A377" s="19"/>
      <c r="B377" s="17"/>
      <c r="C377" s="17"/>
      <c r="D377" s="18"/>
      <c r="E377" s="17"/>
      <c r="F377" s="22"/>
      <c r="G377" s="22"/>
      <c r="H377" s="22"/>
      <c r="I377" s="17"/>
      <c r="J377" s="20" t="str">
        <f aca="false">IF(B377="","",IFERROR(INDEX(Listas!$B$2:$B$40,MATCH(B377,Listas!$A$2:$A$40,0)),""))</f>
        <v/>
      </c>
    </row>
    <row r="378" customFormat="false" ht="15" hidden="false" customHeight="false" outlineLevel="0" collapsed="false">
      <c r="A378" s="19"/>
      <c r="B378" s="17"/>
      <c r="C378" s="17"/>
      <c r="D378" s="18"/>
      <c r="E378" s="17"/>
      <c r="F378" s="22"/>
      <c r="G378" s="22"/>
      <c r="H378" s="22"/>
      <c r="I378" s="17"/>
      <c r="J378" s="20" t="str">
        <f aca="false">IF(B378="","",IFERROR(INDEX(Listas!$B$2:$B$40,MATCH(B378,Listas!$A$2:$A$40,0)),""))</f>
        <v/>
      </c>
    </row>
    <row r="379" customFormat="false" ht="15" hidden="false" customHeight="false" outlineLevel="0" collapsed="false">
      <c r="A379" s="19"/>
      <c r="B379" s="17"/>
      <c r="C379" s="17"/>
      <c r="D379" s="18"/>
      <c r="E379" s="17"/>
      <c r="F379" s="22"/>
      <c r="G379" s="22"/>
      <c r="H379" s="22"/>
      <c r="I379" s="17"/>
      <c r="J379" s="20" t="str">
        <f aca="false">IF(B379="","",IFERROR(INDEX(Listas!$B$2:$B$40,MATCH(B379,Listas!$A$2:$A$40,0)),""))</f>
        <v/>
      </c>
    </row>
    <row r="380" customFormat="false" ht="15" hidden="false" customHeight="false" outlineLevel="0" collapsed="false">
      <c r="A380" s="19"/>
      <c r="B380" s="17"/>
      <c r="C380" s="17"/>
      <c r="D380" s="18"/>
      <c r="E380" s="17"/>
      <c r="F380" s="22"/>
      <c r="G380" s="22"/>
      <c r="H380" s="22"/>
      <c r="I380" s="17"/>
      <c r="J380" s="20" t="str">
        <f aca="false">IF(B380="","",IFERROR(INDEX(Listas!$B$2:$B$40,MATCH(B380,Listas!$A$2:$A$40,0)),""))</f>
        <v/>
      </c>
    </row>
    <row r="381" customFormat="false" ht="15" hidden="false" customHeight="false" outlineLevel="0" collapsed="false">
      <c r="A381" s="19"/>
      <c r="B381" s="17"/>
      <c r="C381" s="17"/>
      <c r="D381" s="18"/>
      <c r="E381" s="17"/>
      <c r="F381" s="22"/>
      <c r="G381" s="22"/>
      <c r="H381" s="22"/>
      <c r="I381" s="17"/>
      <c r="J381" s="20" t="str">
        <f aca="false">IF(B381="","",IFERROR(INDEX(Listas!$B$2:$B$40,MATCH(B381,Listas!$A$2:$A$40,0)),""))</f>
        <v/>
      </c>
    </row>
    <row r="382" customFormat="false" ht="15" hidden="false" customHeight="false" outlineLevel="0" collapsed="false">
      <c r="A382" s="19"/>
      <c r="B382" s="17"/>
      <c r="C382" s="17"/>
      <c r="D382" s="18"/>
      <c r="E382" s="17"/>
      <c r="F382" s="22"/>
      <c r="G382" s="22"/>
      <c r="H382" s="22"/>
      <c r="I382" s="17"/>
      <c r="J382" s="20" t="str">
        <f aca="false">IF(B382="","",IFERROR(INDEX(Listas!$B$2:$B$40,MATCH(B382,Listas!$A$2:$A$40,0)),""))</f>
        <v/>
      </c>
    </row>
    <row r="383" customFormat="false" ht="15" hidden="false" customHeight="false" outlineLevel="0" collapsed="false">
      <c r="A383" s="19"/>
      <c r="B383" s="17"/>
      <c r="C383" s="17"/>
      <c r="D383" s="18"/>
      <c r="E383" s="17"/>
      <c r="F383" s="22"/>
      <c r="G383" s="22"/>
      <c r="H383" s="22"/>
      <c r="I383" s="17"/>
      <c r="J383" s="20" t="str">
        <f aca="false">IF(B383="","",IFERROR(INDEX(Listas!$B$2:$B$40,MATCH(B383,Listas!$A$2:$A$40,0)),""))</f>
        <v/>
      </c>
    </row>
    <row r="384" customFormat="false" ht="15" hidden="false" customHeight="false" outlineLevel="0" collapsed="false">
      <c r="A384" s="19"/>
      <c r="B384" s="17"/>
      <c r="C384" s="17"/>
      <c r="D384" s="18"/>
      <c r="E384" s="17"/>
      <c r="F384" s="22"/>
      <c r="G384" s="22"/>
      <c r="H384" s="22"/>
      <c r="I384" s="17"/>
      <c r="J384" s="20" t="str">
        <f aca="false">IF(B384="","",IFERROR(INDEX(Listas!$B$2:$B$40,MATCH(B384,Listas!$A$2:$A$40,0)),""))</f>
        <v/>
      </c>
    </row>
    <row r="385" customFormat="false" ht="15" hidden="false" customHeight="false" outlineLevel="0" collapsed="false">
      <c r="A385" s="19"/>
      <c r="B385" s="17"/>
      <c r="C385" s="17"/>
      <c r="D385" s="18"/>
      <c r="E385" s="17"/>
      <c r="F385" s="22"/>
      <c r="G385" s="22"/>
      <c r="H385" s="22"/>
      <c r="I385" s="17"/>
      <c r="J385" s="20" t="str">
        <f aca="false">IF(B385="","",IFERROR(INDEX(Listas!$B$2:$B$40,MATCH(B385,Listas!$A$2:$A$40,0)),""))</f>
        <v/>
      </c>
    </row>
    <row r="386" customFormat="false" ht="15" hidden="false" customHeight="false" outlineLevel="0" collapsed="false">
      <c r="A386" s="19"/>
      <c r="B386" s="17"/>
      <c r="C386" s="17"/>
      <c r="D386" s="18"/>
      <c r="E386" s="17"/>
      <c r="F386" s="22"/>
      <c r="G386" s="22"/>
      <c r="H386" s="22"/>
      <c r="I386" s="17"/>
      <c r="J386" s="20" t="str">
        <f aca="false">IF(B386="","",IFERROR(INDEX(Listas!$B$2:$B$40,MATCH(B386,Listas!$A$2:$A$40,0)),""))</f>
        <v/>
      </c>
    </row>
    <row r="387" customFormat="false" ht="15" hidden="false" customHeight="false" outlineLevel="0" collapsed="false">
      <c r="A387" s="19"/>
      <c r="B387" s="17"/>
      <c r="C387" s="17"/>
      <c r="D387" s="18"/>
      <c r="E387" s="17"/>
      <c r="F387" s="22"/>
      <c r="G387" s="22"/>
      <c r="H387" s="22"/>
      <c r="I387" s="17"/>
      <c r="J387" s="20" t="str">
        <f aca="false">IF(B387="","",IFERROR(INDEX(Listas!$B$2:$B$40,MATCH(B387,Listas!$A$2:$A$40,0)),""))</f>
        <v/>
      </c>
    </row>
    <row r="388" customFormat="false" ht="15" hidden="false" customHeight="false" outlineLevel="0" collapsed="false">
      <c r="A388" s="19"/>
      <c r="B388" s="17"/>
      <c r="C388" s="17"/>
      <c r="D388" s="18"/>
      <c r="E388" s="17"/>
      <c r="F388" s="22"/>
      <c r="G388" s="22"/>
      <c r="H388" s="22"/>
      <c r="I388" s="17"/>
      <c r="J388" s="20" t="str">
        <f aca="false">IF(B388="","",IFERROR(INDEX(Listas!$B$2:$B$40,MATCH(B388,Listas!$A$2:$A$40,0)),""))</f>
        <v/>
      </c>
    </row>
    <row r="389" customFormat="false" ht="15" hidden="false" customHeight="false" outlineLevel="0" collapsed="false">
      <c r="A389" s="19"/>
      <c r="B389" s="17"/>
      <c r="C389" s="17"/>
      <c r="D389" s="18"/>
      <c r="E389" s="17"/>
      <c r="F389" s="22"/>
      <c r="G389" s="22"/>
      <c r="H389" s="22"/>
      <c r="I389" s="17"/>
      <c r="J389" s="20" t="str">
        <f aca="false">IF(B389="","",IFERROR(INDEX(Listas!$B$2:$B$40,MATCH(B389,Listas!$A$2:$A$40,0)),""))</f>
        <v/>
      </c>
    </row>
    <row r="390" customFormat="false" ht="15" hidden="false" customHeight="false" outlineLevel="0" collapsed="false">
      <c r="A390" s="19"/>
      <c r="B390" s="17"/>
      <c r="C390" s="17"/>
      <c r="D390" s="18"/>
      <c r="E390" s="17"/>
      <c r="F390" s="22"/>
      <c r="G390" s="22"/>
      <c r="H390" s="22"/>
      <c r="I390" s="17"/>
      <c r="J390" s="20" t="str">
        <f aca="false">IF(B390="","",IFERROR(INDEX(Listas!$B$2:$B$40,MATCH(B390,Listas!$A$2:$A$40,0)),""))</f>
        <v/>
      </c>
    </row>
    <row r="391" customFormat="false" ht="15" hidden="false" customHeight="false" outlineLevel="0" collapsed="false">
      <c r="A391" s="19"/>
      <c r="B391" s="17"/>
      <c r="C391" s="17"/>
      <c r="D391" s="18"/>
      <c r="E391" s="17"/>
      <c r="F391" s="22"/>
      <c r="G391" s="22"/>
      <c r="H391" s="22"/>
      <c r="I391" s="17"/>
      <c r="J391" s="20" t="str">
        <f aca="false">IF(B391="","",IFERROR(INDEX(Listas!$B$2:$B$40,MATCH(B391,Listas!$A$2:$A$40,0)),""))</f>
        <v/>
      </c>
    </row>
    <row r="392" customFormat="false" ht="15" hidden="false" customHeight="false" outlineLevel="0" collapsed="false">
      <c r="A392" s="19"/>
      <c r="B392" s="17"/>
      <c r="C392" s="17"/>
      <c r="D392" s="18"/>
      <c r="E392" s="17"/>
      <c r="F392" s="22"/>
      <c r="G392" s="22"/>
      <c r="H392" s="22"/>
      <c r="I392" s="17"/>
      <c r="J392" s="20" t="str">
        <f aca="false">IF(B392="","",IFERROR(INDEX(Listas!$B$2:$B$40,MATCH(B392,Listas!$A$2:$A$40,0)),""))</f>
        <v/>
      </c>
    </row>
    <row r="393" customFormat="false" ht="15" hidden="false" customHeight="false" outlineLevel="0" collapsed="false">
      <c r="A393" s="19"/>
      <c r="B393" s="17"/>
      <c r="C393" s="17"/>
      <c r="D393" s="18"/>
      <c r="E393" s="17"/>
      <c r="F393" s="22"/>
      <c r="G393" s="22"/>
      <c r="H393" s="22"/>
      <c r="I393" s="17"/>
      <c r="J393" s="20" t="str">
        <f aca="false">IF(B393="","",IFERROR(INDEX(Listas!$B$2:$B$40,MATCH(B393,Listas!$A$2:$A$40,0)),""))</f>
        <v/>
      </c>
    </row>
    <row r="394" customFormat="false" ht="15" hidden="false" customHeight="false" outlineLevel="0" collapsed="false">
      <c r="A394" s="19"/>
      <c r="B394" s="17"/>
      <c r="C394" s="17"/>
      <c r="D394" s="18"/>
      <c r="E394" s="17"/>
      <c r="F394" s="22"/>
      <c r="G394" s="22"/>
      <c r="H394" s="22"/>
      <c r="I394" s="17"/>
      <c r="J394" s="20" t="str">
        <f aca="false">IF(B394="","",IFERROR(INDEX(Listas!$B$2:$B$40,MATCH(B394,Listas!$A$2:$A$40,0)),""))</f>
        <v/>
      </c>
    </row>
    <row r="395" customFormat="false" ht="15" hidden="false" customHeight="false" outlineLevel="0" collapsed="false">
      <c r="A395" s="19"/>
      <c r="B395" s="17"/>
      <c r="C395" s="17"/>
      <c r="D395" s="18"/>
      <c r="E395" s="17"/>
      <c r="F395" s="22"/>
      <c r="G395" s="22"/>
      <c r="H395" s="22"/>
      <c r="I395" s="17"/>
      <c r="J395" s="20" t="str">
        <f aca="false">IF(B395="","",IFERROR(INDEX(Listas!$B$2:$B$40,MATCH(B395,Listas!$A$2:$A$40,0)),""))</f>
        <v/>
      </c>
    </row>
    <row r="396" customFormat="false" ht="15" hidden="false" customHeight="false" outlineLevel="0" collapsed="false">
      <c r="A396" s="19"/>
      <c r="B396" s="17"/>
      <c r="C396" s="17"/>
      <c r="D396" s="18"/>
      <c r="E396" s="17"/>
      <c r="F396" s="22"/>
      <c r="G396" s="22"/>
      <c r="H396" s="22"/>
      <c r="I396" s="17"/>
      <c r="J396" s="20" t="str">
        <f aca="false">IF(B396="","",IFERROR(INDEX(Listas!$B$2:$B$40,MATCH(B396,Listas!$A$2:$A$40,0)),""))</f>
        <v/>
      </c>
    </row>
    <row r="397" customFormat="false" ht="15" hidden="false" customHeight="false" outlineLevel="0" collapsed="false">
      <c r="A397" s="19"/>
      <c r="B397" s="17"/>
      <c r="C397" s="17"/>
      <c r="D397" s="18"/>
      <c r="E397" s="17"/>
      <c r="F397" s="22"/>
      <c r="G397" s="22"/>
      <c r="H397" s="22"/>
      <c r="I397" s="17"/>
      <c r="J397" s="20" t="str">
        <f aca="false">IF(B397="","",IFERROR(INDEX(Listas!$B$2:$B$40,MATCH(B397,Listas!$A$2:$A$40,0)),""))</f>
        <v/>
      </c>
    </row>
    <row r="398" customFormat="false" ht="15" hidden="false" customHeight="false" outlineLevel="0" collapsed="false">
      <c r="A398" s="19"/>
      <c r="B398" s="17"/>
      <c r="C398" s="17"/>
      <c r="D398" s="18"/>
      <c r="E398" s="17"/>
      <c r="F398" s="22"/>
      <c r="G398" s="22"/>
      <c r="H398" s="22"/>
      <c r="I398" s="17"/>
      <c r="J398" s="20" t="str">
        <f aca="false">IF(B398="","",IFERROR(INDEX(Listas!$B$2:$B$40,MATCH(B398,Listas!$A$2:$A$40,0)),""))</f>
        <v/>
      </c>
    </row>
    <row r="399" customFormat="false" ht="15" hidden="false" customHeight="false" outlineLevel="0" collapsed="false">
      <c r="A399" s="19"/>
      <c r="B399" s="17"/>
      <c r="C399" s="17"/>
      <c r="D399" s="18"/>
      <c r="E399" s="17"/>
      <c r="F399" s="22"/>
      <c r="G399" s="22"/>
      <c r="H399" s="22"/>
      <c r="I399" s="17"/>
      <c r="J399" s="20" t="str">
        <f aca="false">IF(B399="","",IFERROR(INDEX(Listas!$B$2:$B$40,MATCH(B399,Listas!$A$2:$A$40,0)),""))</f>
        <v/>
      </c>
    </row>
    <row r="400" customFormat="false" ht="15" hidden="false" customHeight="false" outlineLevel="0" collapsed="false">
      <c r="A400" s="19"/>
      <c r="B400" s="17"/>
      <c r="C400" s="17"/>
      <c r="D400" s="18"/>
      <c r="E400" s="17"/>
      <c r="F400" s="22"/>
      <c r="G400" s="22"/>
      <c r="H400" s="22"/>
      <c r="I400" s="17"/>
      <c r="J400" s="20" t="str">
        <f aca="false">IF(B400="","",IFERROR(INDEX(Listas!$B$2:$B$40,MATCH(B400,Listas!$A$2:$A$40,0)),""))</f>
        <v/>
      </c>
    </row>
    <row r="401" customFormat="false" ht="15" hidden="false" customHeight="false" outlineLevel="0" collapsed="false">
      <c r="A401" s="19"/>
      <c r="B401" s="17"/>
      <c r="C401" s="17"/>
      <c r="D401" s="18"/>
      <c r="E401" s="17"/>
      <c r="F401" s="22"/>
      <c r="G401" s="22"/>
      <c r="H401" s="22"/>
      <c r="I401" s="17"/>
      <c r="J401" s="20" t="str">
        <f aca="false">IF(B401="","",IFERROR(INDEX(Listas!$B$2:$B$40,MATCH(B401,Listas!$A$2:$A$40,0)),""))</f>
        <v/>
      </c>
    </row>
    <row r="402" customFormat="false" ht="15" hidden="false" customHeight="false" outlineLevel="0" collapsed="false">
      <c r="A402" s="19"/>
      <c r="B402" s="17"/>
      <c r="C402" s="17"/>
      <c r="D402" s="18"/>
      <c r="E402" s="17"/>
      <c r="F402" s="22"/>
      <c r="G402" s="22"/>
      <c r="H402" s="22"/>
      <c r="I402" s="17"/>
      <c r="J402" s="20" t="str">
        <f aca="false">IF(B402="","",IFERROR(INDEX(Listas!$B$2:$B$40,MATCH(B402,Listas!$A$2:$A$40,0)),""))</f>
        <v/>
      </c>
    </row>
    <row r="403" customFormat="false" ht="15" hidden="false" customHeight="false" outlineLevel="0" collapsed="false">
      <c r="A403" s="19"/>
      <c r="B403" s="17"/>
      <c r="C403" s="17"/>
      <c r="D403" s="18"/>
      <c r="E403" s="17"/>
      <c r="F403" s="22"/>
      <c r="G403" s="22"/>
      <c r="H403" s="22"/>
      <c r="I403" s="17"/>
      <c r="J403" s="20" t="str">
        <f aca="false">IF(B403="","",IFERROR(INDEX(Listas!$B$2:$B$40,MATCH(B403,Listas!$A$2:$A$40,0)),""))</f>
        <v/>
      </c>
    </row>
    <row r="404" customFormat="false" ht="15" hidden="false" customHeight="false" outlineLevel="0" collapsed="false">
      <c r="A404" s="19"/>
      <c r="B404" s="17"/>
      <c r="C404" s="17"/>
      <c r="D404" s="18"/>
      <c r="E404" s="17"/>
      <c r="F404" s="22"/>
      <c r="G404" s="22"/>
      <c r="H404" s="22"/>
      <c r="I404" s="17"/>
      <c r="J404" s="20" t="str">
        <f aca="false">IF(B404="","",IFERROR(INDEX(Listas!$B$2:$B$40,MATCH(B404,Listas!$A$2:$A$40,0)),""))</f>
        <v/>
      </c>
    </row>
    <row r="405" customFormat="false" ht="15" hidden="false" customHeight="false" outlineLevel="0" collapsed="false">
      <c r="A405" s="19"/>
      <c r="B405" s="17"/>
      <c r="C405" s="17"/>
      <c r="D405" s="18"/>
      <c r="E405" s="17"/>
      <c r="F405" s="22"/>
      <c r="G405" s="22"/>
      <c r="H405" s="22"/>
      <c r="I405" s="17"/>
      <c r="J405" s="20" t="str">
        <f aca="false">IF(B405="","",IFERROR(INDEX(Listas!$B$2:$B$40,MATCH(B405,Listas!$A$2:$A$40,0)),""))</f>
        <v/>
      </c>
    </row>
    <row r="406" customFormat="false" ht="15" hidden="false" customHeight="false" outlineLevel="0" collapsed="false">
      <c r="A406" s="19"/>
      <c r="B406" s="17"/>
      <c r="C406" s="17"/>
      <c r="D406" s="18"/>
      <c r="E406" s="17"/>
      <c r="F406" s="22"/>
      <c r="G406" s="22"/>
      <c r="H406" s="22"/>
      <c r="I406" s="17"/>
      <c r="J406" s="20" t="str">
        <f aca="false">IF(B406="","",IFERROR(INDEX(Listas!$B$2:$B$40,MATCH(B406,Listas!$A$2:$A$40,0)),""))</f>
        <v/>
      </c>
    </row>
    <row r="407" customFormat="false" ht="15" hidden="false" customHeight="false" outlineLevel="0" collapsed="false">
      <c r="A407" s="19"/>
      <c r="B407" s="17"/>
      <c r="C407" s="17"/>
      <c r="D407" s="18"/>
      <c r="E407" s="17"/>
      <c r="F407" s="22"/>
      <c r="G407" s="22"/>
      <c r="H407" s="22"/>
      <c r="I407" s="17"/>
      <c r="J407" s="20" t="str">
        <f aca="false">IF(B407="","",IFERROR(INDEX(Listas!$B$2:$B$40,MATCH(B407,Listas!$A$2:$A$40,0)),""))</f>
        <v/>
      </c>
    </row>
    <row r="408" customFormat="false" ht="15" hidden="false" customHeight="false" outlineLevel="0" collapsed="false">
      <c r="A408" s="19"/>
      <c r="B408" s="17"/>
      <c r="C408" s="17"/>
      <c r="D408" s="18"/>
      <c r="E408" s="17"/>
      <c r="F408" s="22"/>
      <c r="G408" s="22"/>
      <c r="H408" s="22"/>
      <c r="I408" s="17"/>
      <c r="J408" s="20" t="str">
        <f aca="false">IF(B408="","",IFERROR(INDEX(Listas!$B$2:$B$40,MATCH(B408,Listas!$A$2:$A$40,0)),""))</f>
        <v/>
      </c>
    </row>
    <row r="409" customFormat="false" ht="15" hidden="false" customHeight="false" outlineLevel="0" collapsed="false">
      <c r="A409" s="19"/>
      <c r="B409" s="17"/>
      <c r="C409" s="17"/>
      <c r="D409" s="18"/>
      <c r="E409" s="17"/>
      <c r="F409" s="22"/>
      <c r="G409" s="22"/>
      <c r="H409" s="22"/>
      <c r="I409" s="17"/>
      <c r="J409" s="20" t="str">
        <f aca="false">IF(B409="","",IFERROR(INDEX(Listas!$B$2:$B$40,MATCH(B409,Listas!$A$2:$A$40,0)),""))</f>
        <v/>
      </c>
    </row>
    <row r="410" customFormat="false" ht="15" hidden="false" customHeight="false" outlineLevel="0" collapsed="false">
      <c r="A410" s="19"/>
      <c r="B410" s="17"/>
      <c r="C410" s="17"/>
      <c r="D410" s="18"/>
      <c r="E410" s="17"/>
      <c r="F410" s="22"/>
      <c r="G410" s="22"/>
      <c r="H410" s="22"/>
      <c r="I410" s="17"/>
      <c r="J410" s="20" t="str">
        <f aca="false">IF(B410="","",IFERROR(INDEX(Listas!$B$2:$B$40,MATCH(B410,Listas!$A$2:$A$40,0)),""))</f>
        <v/>
      </c>
    </row>
    <row r="411" customFormat="false" ht="15" hidden="false" customHeight="false" outlineLevel="0" collapsed="false">
      <c r="A411" s="19"/>
      <c r="B411" s="17"/>
      <c r="C411" s="17"/>
      <c r="D411" s="18"/>
      <c r="E411" s="17"/>
      <c r="F411" s="22"/>
      <c r="G411" s="22"/>
      <c r="H411" s="22"/>
      <c r="I411" s="17"/>
      <c r="J411" s="20" t="str">
        <f aca="false">IF(B411="","",IFERROR(INDEX(Listas!$B$2:$B$40,MATCH(B411,Listas!$A$2:$A$40,0)),""))</f>
        <v/>
      </c>
    </row>
    <row r="412" customFormat="false" ht="15" hidden="false" customHeight="false" outlineLevel="0" collapsed="false">
      <c r="A412" s="19"/>
      <c r="B412" s="17"/>
      <c r="C412" s="17"/>
      <c r="D412" s="18"/>
      <c r="E412" s="17"/>
      <c r="F412" s="22"/>
      <c r="G412" s="22"/>
      <c r="H412" s="22"/>
      <c r="I412" s="17"/>
      <c r="J412" s="20" t="str">
        <f aca="false">IF(B412="","",IFERROR(INDEX(Listas!$B$2:$B$40,MATCH(B412,Listas!$A$2:$A$40,0)),""))</f>
        <v/>
      </c>
    </row>
    <row r="413" customFormat="false" ht="15" hidden="false" customHeight="false" outlineLevel="0" collapsed="false">
      <c r="A413" s="19"/>
      <c r="B413" s="17"/>
      <c r="C413" s="17"/>
      <c r="D413" s="18"/>
      <c r="E413" s="17"/>
      <c r="F413" s="22"/>
      <c r="G413" s="22"/>
      <c r="H413" s="22"/>
      <c r="I413" s="17"/>
      <c r="J413" s="20" t="str">
        <f aca="false">IF(B413="","",IFERROR(INDEX(Listas!$B$2:$B$40,MATCH(B413,Listas!$A$2:$A$40,0)),""))</f>
        <v/>
      </c>
    </row>
    <row r="414" customFormat="false" ht="15" hidden="false" customHeight="false" outlineLevel="0" collapsed="false">
      <c r="A414" s="19"/>
      <c r="B414" s="17"/>
      <c r="C414" s="17"/>
      <c r="D414" s="18"/>
      <c r="E414" s="17"/>
      <c r="F414" s="22"/>
      <c r="G414" s="22"/>
      <c r="H414" s="22"/>
      <c r="I414" s="17"/>
      <c r="J414" s="20" t="str">
        <f aca="false">IF(B414="","",IFERROR(INDEX(Listas!$B$2:$B$40,MATCH(B414,Listas!$A$2:$A$40,0)),""))</f>
        <v/>
      </c>
    </row>
    <row r="415" customFormat="false" ht="15" hidden="false" customHeight="false" outlineLevel="0" collapsed="false">
      <c r="A415" s="19"/>
      <c r="B415" s="17"/>
      <c r="C415" s="17"/>
      <c r="D415" s="18"/>
      <c r="E415" s="17"/>
      <c r="F415" s="22"/>
      <c r="G415" s="22"/>
      <c r="H415" s="22"/>
      <c r="I415" s="17"/>
      <c r="J415" s="20" t="str">
        <f aca="false">IF(B415="","",IFERROR(INDEX(Listas!$B$2:$B$40,MATCH(B415,Listas!$A$2:$A$40,0)),""))</f>
        <v/>
      </c>
    </row>
    <row r="416" customFormat="false" ht="15" hidden="false" customHeight="false" outlineLevel="0" collapsed="false">
      <c r="A416" s="19"/>
      <c r="B416" s="17"/>
      <c r="C416" s="17"/>
      <c r="D416" s="18"/>
      <c r="E416" s="17"/>
      <c r="F416" s="22"/>
      <c r="G416" s="22"/>
      <c r="H416" s="22"/>
      <c r="I416" s="17"/>
      <c r="J416" s="20" t="str">
        <f aca="false">IF(B416="","",IFERROR(INDEX(Listas!$B$2:$B$40,MATCH(B416,Listas!$A$2:$A$40,0)),""))</f>
        <v/>
      </c>
    </row>
    <row r="417" customFormat="false" ht="15" hidden="false" customHeight="false" outlineLevel="0" collapsed="false">
      <c r="A417" s="19"/>
      <c r="B417" s="17"/>
      <c r="C417" s="17"/>
      <c r="D417" s="18"/>
      <c r="E417" s="17"/>
      <c r="F417" s="22"/>
      <c r="G417" s="22"/>
      <c r="H417" s="22"/>
      <c r="I417" s="17"/>
      <c r="J417" s="20" t="str">
        <f aca="false">IF(B417="","",IFERROR(INDEX(Listas!$B$2:$B$40,MATCH(B417,Listas!$A$2:$A$40,0)),""))</f>
        <v/>
      </c>
    </row>
    <row r="418" customFormat="false" ht="15" hidden="false" customHeight="false" outlineLevel="0" collapsed="false">
      <c r="A418" s="19"/>
      <c r="B418" s="17"/>
      <c r="C418" s="17"/>
      <c r="D418" s="18"/>
      <c r="E418" s="17"/>
      <c r="F418" s="22"/>
      <c r="G418" s="22"/>
      <c r="H418" s="22"/>
      <c r="I418" s="17"/>
      <c r="J418" s="20" t="str">
        <f aca="false">IF(B418="","",IFERROR(INDEX(Listas!$B$2:$B$40,MATCH(B418,Listas!$A$2:$A$40,0)),""))</f>
        <v/>
      </c>
    </row>
    <row r="419" customFormat="false" ht="15" hidden="false" customHeight="false" outlineLevel="0" collapsed="false">
      <c r="A419" s="19"/>
      <c r="B419" s="17"/>
      <c r="C419" s="17"/>
      <c r="D419" s="18"/>
      <c r="E419" s="17"/>
      <c r="F419" s="22"/>
      <c r="G419" s="22"/>
      <c r="H419" s="22"/>
      <c r="I419" s="17"/>
      <c r="J419" s="20" t="str">
        <f aca="false">IF(B419="","",IFERROR(INDEX(Listas!$B$2:$B$40,MATCH(B419,Listas!$A$2:$A$40,0)),""))</f>
        <v/>
      </c>
    </row>
    <row r="420" customFormat="false" ht="15" hidden="false" customHeight="false" outlineLevel="0" collapsed="false">
      <c r="A420" s="19"/>
      <c r="B420" s="17"/>
      <c r="C420" s="17"/>
      <c r="D420" s="18"/>
      <c r="E420" s="17"/>
      <c r="F420" s="22"/>
      <c r="G420" s="22"/>
      <c r="H420" s="22"/>
      <c r="I420" s="17"/>
      <c r="J420" s="20" t="str">
        <f aca="false">IF(B420="","",IFERROR(INDEX(Listas!$B$2:$B$40,MATCH(B420,Listas!$A$2:$A$40,0)),""))</f>
        <v/>
      </c>
    </row>
    <row r="421" customFormat="false" ht="15" hidden="false" customHeight="false" outlineLevel="0" collapsed="false">
      <c r="A421" s="19"/>
      <c r="B421" s="17"/>
      <c r="C421" s="17"/>
      <c r="D421" s="18"/>
      <c r="E421" s="17"/>
      <c r="F421" s="22"/>
      <c r="G421" s="22"/>
      <c r="H421" s="22"/>
      <c r="I421" s="17"/>
      <c r="J421" s="20" t="str">
        <f aca="false">IF(B421="","",IFERROR(INDEX(Listas!$B$2:$B$40,MATCH(B421,Listas!$A$2:$A$40,0)),""))</f>
        <v/>
      </c>
    </row>
    <row r="422" customFormat="false" ht="15" hidden="false" customHeight="false" outlineLevel="0" collapsed="false">
      <c r="A422" s="19"/>
      <c r="B422" s="17"/>
      <c r="C422" s="17"/>
      <c r="D422" s="18"/>
      <c r="E422" s="17"/>
      <c r="F422" s="22"/>
      <c r="G422" s="22"/>
      <c r="H422" s="22"/>
      <c r="I422" s="17"/>
      <c r="J422" s="20" t="str">
        <f aca="false">IF(B422="","",IFERROR(INDEX(Listas!$B$2:$B$40,MATCH(B422,Listas!$A$2:$A$40,0)),""))</f>
        <v/>
      </c>
    </row>
    <row r="423" customFormat="false" ht="15" hidden="false" customHeight="false" outlineLevel="0" collapsed="false">
      <c r="A423" s="19"/>
      <c r="B423" s="17"/>
      <c r="C423" s="17"/>
      <c r="D423" s="18"/>
      <c r="E423" s="17"/>
      <c r="F423" s="22"/>
      <c r="G423" s="22"/>
      <c r="H423" s="22"/>
      <c r="I423" s="17"/>
      <c r="J423" s="20" t="str">
        <f aca="false">IF(B423="","",IFERROR(INDEX(Listas!$B$2:$B$40,MATCH(B423,Listas!$A$2:$A$40,0)),""))</f>
        <v/>
      </c>
    </row>
    <row r="424" customFormat="false" ht="15" hidden="false" customHeight="false" outlineLevel="0" collapsed="false">
      <c r="A424" s="19"/>
      <c r="B424" s="17"/>
      <c r="C424" s="17"/>
      <c r="D424" s="18"/>
      <c r="E424" s="17"/>
      <c r="F424" s="22"/>
      <c r="G424" s="22"/>
      <c r="H424" s="22"/>
      <c r="I424" s="17"/>
      <c r="J424" s="20" t="str">
        <f aca="false">IF(B424="","",IFERROR(INDEX(Listas!$B$2:$B$40,MATCH(B424,Listas!$A$2:$A$40,0)),""))</f>
        <v/>
      </c>
    </row>
    <row r="425" customFormat="false" ht="15" hidden="false" customHeight="false" outlineLevel="0" collapsed="false">
      <c r="A425" s="19"/>
      <c r="B425" s="17"/>
      <c r="C425" s="17"/>
      <c r="D425" s="18"/>
      <c r="E425" s="17"/>
      <c r="F425" s="22"/>
      <c r="G425" s="22"/>
      <c r="H425" s="22"/>
      <c r="I425" s="17"/>
      <c r="J425" s="20" t="str">
        <f aca="false">IF(B425="","",IFERROR(INDEX(Listas!$B$2:$B$40,MATCH(B425,Listas!$A$2:$A$40,0)),""))</f>
        <v/>
      </c>
    </row>
    <row r="426" customFormat="false" ht="15" hidden="false" customHeight="false" outlineLevel="0" collapsed="false">
      <c r="A426" s="19"/>
      <c r="B426" s="17"/>
      <c r="C426" s="17"/>
      <c r="D426" s="18"/>
      <c r="E426" s="17"/>
      <c r="F426" s="22"/>
      <c r="G426" s="22"/>
      <c r="H426" s="22"/>
      <c r="I426" s="17"/>
      <c r="J426" s="20" t="str">
        <f aca="false">IF(B426="","",IFERROR(INDEX(Listas!$B$2:$B$40,MATCH(B426,Listas!$A$2:$A$40,0)),""))</f>
        <v/>
      </c>
    </row>
    <row r="427" customFormat="false" ht="15" hidden="false" customHeight="false" outlineLevel="0" collapsed="false">
      <c r="A427" s="19"/>
      <c r="B427" s="17"/>
      <c r="C427" s="17"/>
      <c r="D427" s="18"/>
      <c r="E427" s="17"/>
      <c r="F427" s="22"/>
      <c r="G427" s="22"/>
      <c r="H427" s="22"/>
      <c r="I427" s="17"/>
      <c r="J427" s="20" t="str">
        <f aca="false">IF(B427="","",IFERROR(INDEX(Listas!$B$2:$B$40,MATCH(B427,Listas!$A$2:$A$40,0)),""))</f>
        <v/>
      </c>
    </row>
    <row r="428" customFormat="false" ht="15" hidden="false" customHeight="false" outlineLevel="0" collapsed="false">
      <c r="A428" s="19"/>
      <c r="B428" s="17"/>
      <c r="C428" s="17"/>
      <c r="D428" s="18"/>
      <c r="E428" s="17"/>
      <c r="F428" s="22"/>
      <c r="G428" s="22"/>
      <c r="H428" s="22"/>
      <c r="I428" s="17"/>
      <c r="J428" s="20" t="str">
        <f aca="false">IF(B428="","",IFERROR(INDEX(Listas!$B$2:$B$40,MATCH(B428,Listas!$A$2:$A$40,0)),""))</f>
        <v/>
      </c>
    </row>
    <row r="429" customFormat="false" ht="15" hidden="false" customHeight="false" outlineLevel="0" collapsed="false">
      <c r="A429" s="19"/>
      <c r="B429" s="17"/>
      <c r="C429" s="17"/>
      <c r="D429" s="18"/>
      <c r="E429" s="17"/>
      <c r="F429" s="22"/>
      <c r="G429" s="22"/>
      <c r="H429" s="22"/>
      <c r="I429" s="17"/>
      <c r="J429" s="20" t="str">
        <f aca="false">IF(B429="","",IFERROR(INDEX(Listas!$B$2:$B$40,MATCH(B429,Listas!$A$2:$A$40,0)),""))</f>
        <v/>
      </c>
    </row>
    <row r="430" customFormat="false" ht="15" hidden="false" customHeight="false" outlineLevel="0" collapsed="false">
      <c r="A430" s="19"/>
      <c r="B430" s="17"/>
      <c r="C430" s="17"/>
      <c r="D430" s="18"/>
      <c r="E430" s="17"/>
      <c r="F430" s="22"/>
      <c r="G430" s="22"/>
      <c r="H430" s="22"/>
      <c r="I430" s="17"/>
      <c r="J430" s="20" t="str">
        <f aca="false">IF(B430="","",IFERROR(INDEX(Listas!$B$2:$B$40,MATCH(B430,Listas!$A$2:$A$40,0)),""))</f>
        <v/>
      </c>
    </row>
    <row r="431" customFormat="false" ht="15" hidden="false" customHeight="false" outlineLevel="0" collapsed="false">
      <c r="A431" s="19"/>
      <c r="B431" s="17"/>
      <c r="C431" s="17"/>
      <c r="D431" s="18"/>
      <c r="E431" s="17"/>
      <c r="F431" s="22"/>
      <c r="G431" s="22"/>
      <c r="H431" s="22"/>
      <c r="I431" s="17"/>
      <c r="J431" s="20" t="str">
        <f aca="false">IF(B431="","",IFERROR(INDEX(Listas!$B$2:$B$40,MATCH(B431,Listas!$A$2:$A$40,0)),""))</f>
        <v/>
      </c>
    </row>
    <row r="432" customFormat="false" ht="15" hidden="false" customHeight="false" outlineLevel="0" collapsed="false">
      <c r="A432" s="19"/>
      <c r="B432" s="17"/>
      <c r="C432" s="17"/>
      <c r="D432" s="18"/>
      <c r="E432" s="17"/>
      <c r="F432" s="22"/>
      <c r="G432" s="22"/>
      <c r="H432" s="22"/>
      <c r="I432" s="17"/>
      <c r="J432" s="20" t="str">
        <f aca="false">IF(B432="","",IFERROR(INDEX(Listas!$B$2:$B$40,MATCH(B432,Listas!$A$2:$A$40,0)),""))</f>
        <v/>
      </c>
    </row>
    <row r="433" customFormat="false" ht="15" hidden="false" customHeight="false" outlineLevel="0" collapsed="false">
      <c r="A433" s="19"/>
      <c r="B433" s="17"/>
      <c r="C433" s="17"/>
      <c r="D433" s="18"/>
      <c r="E433" s="17"/>
      <c r="F433" s="22"/>
      <c r="G433" s="22"/>
      <c r="H433" s="22"/>
      <c r="I433" s="17"/>
      <c r="J433" s="20" t="str">
        <f aca="false">IF(B433="","",IFERROR(INDEX(Listas!$B$2:$B$40,MATCH(B433,Listas!$A$2:$A$40,0)),""))</f>
        <v/>
      </c>
    </row>
    <row r="434" customFormat="false" ht="15" hidden="false" customHeight="false" outlineLevel="0" collapsed="false">
      <c r="A434" s="19"/>
      <c r="B434" s="17"/>
      <c r="C434" s="17"/>
      <c r="D434" s="18"/>
      <c r="E434" s="17"/>
      <c r="F434" s="22"/>
      <c r="G434" s="22"/>
      <c r="H434" s="22"/>
      <c r="I434" s="17"/>
      <c r="J434" s="20" t="str">
        <f aca="false">IF(B434="","",IFERROR(INDEX(Listas!$B$2:$B$40,MATCH(B434,Listas!$A$2:$A$40,0)),""))</f>
        <v/>
      </c>
    </row>
    <row r="435" customFormat="false" ht="15" hidden="false" customHeight="false" outlineLevel="0" collapsed="false">
      <c r="A435" s="19"/>
      <c r="B435" s="17"/>
      <c r="C435" s="17"/>
      <c r="D435" s="18"/>
      <c r="E435" s="17"/>
      <c r="F435" s="22"/>
      <c r="G435" s="22"/>
      <c r="H435" s="22"/>
      <c r="I435" s="17"/>
      <c r="J435" s="20" t="str">
        <f aca="false">IF(B435="","",IFERROR(INDEX(Listas!$B$2:$B$40,MATCH(B435,Listas!$A$2:$A$40,0)),""))</f>
        <v/>
      </c>
    </row>
    <row r="436" customFormat="false" ht="15" hidden="false" customHeight="false" outlineLevel="0" collapsed="false">
      <c r="A436" s="19"/>
      <c r="B436" s="17"/>
      <c r="C436" s="17"/>
      <c r="D436" s="18"/>
      <c r="E436" s="17"/>
      <c r="F436" s="22"/>
      <c r="G436" s="22"/>
      <c r="H436" s="22"/>
      <c r="I436" s="17"/>
      <c r="J436" s="20" t="str">
        <f aca="false">IF(B436="","",IFERROR(INDEX(Listas!$B$2:$B$40,MATCH(B436,Listas!$A$2:$A$40,0)),""))</f>
        <v/>
      </c>
    </row>
    <row r="437" customFormat="false" ht="15" hidden="false" customHeight="false" outlineLevel="0" collapsed="false">
      <c r="A437" s="19"/>
      <c r="B437" s="17"/>
      <c r="C437" s="17"/>
      <c r="D437" s="18"/>
      <c r="E437" s="17"/>
      <c r="F437" s="22"/>
      <c r="G437" s="22"/>
      <c r="H437" s="22"/>
      <c r="I437" s="17"/>
      <c r="J437" s="20" t="str">
        <f aca="false">IF(B437="","",IFERROR(INDEX(Listas!$B$2:$B$40,MATCH(B437,Listas!$A$2:$A$40,0)),""))</f>
        <v/>
      </c>
    </row>
    <row r="438" customFormat="false" ht="15" hidden="false" customHeight="false" outlineLevel="0" collapsed="false">
      <c r="A438" s="19"/>
      <c r="B438" s="17"/>
      <c r="C438" s="17"/>
      <c r="D438" s="18"/>
      <c r="E438" s="17"/>
      <c r="F438" s="22"/>
      <c r="G438" s="22"/>
      <c r="H438" s="22"/>
      <c r="I438" s="17"/>
      <c r="J438" s="20" t="str">
        <f aca="false">IF(B438="","",IFERROR(INDEX(Listas!$B$2:$B$40,MATCH(B438,Listas!$A$2:$A$40,0)),""))</f>
        <v/>
      </c>
    </row>
    <row r="439" customFormat="false" ht="15" hidden="false" customHeight="false" outlineLevel="0" collapsed="false">
      <c r="A439" s="19"/>
      <c r="B439" s="17"/>
      <c r="C439" s="17"/>
      <c r="D439" s="18"/>
      <c r="E439" s="17"/>
      <c r="F439" s="22"/>
      <c r="G439" s="22"/>
      <c r="H439" s="22"/>
      <c r="I439" s="17"/>
      <c r="J439" s="20" t="str">
        <f aca="false">IF(B439="","",IFERROR(INDEX(Listas!$B$2:$B$40,MATCH(B439,Listas!$A$2:$A$40,0)),""))</f>
        <v/>
      </c>
    </row>
    <row r="440" customFormat="false" ht="15" hidden="false" customHeight="false" outlineLevel="0" collapsed="false">
      <c r="A440" s="19"/>
      <c r="B440" s="17"/>
      <c r="C440" s="17"/>
      <c r="D440" s="18"/>
      <c r="E440" s="17"/>
      <c r="F440" s="22"/>
      <c r="G440" s="22"/>
      <c r="H440" s="22"/>
      <c r="I440" s="17"/>
      <c r="J440" s="20" t="str">
        <f aca="false">IF(B440="","",IFERROR(INDEX(Listas!$B$2:$B$40,MATCH(B440,Listas!$A$2:$A$40,0)),""))</f>
        <v/>
      </c>
    </row>
    <row r="441" customFormat="false" ht="15" hidden="false" customHeight="false" outlineLevel="0" collapsed="false">
      <c r="A441" s="19"/>
      <c r="B441" s="17"/>
      <c r="C441" s="17"/>
      <c r="D441" s="18"/>
      <c r="E441" s="17"/>
      <c r="F441" s="22"/>
      <c r="G441" s="22"/>
      <c r="H441" s="22"/>
      <c r="I441" s="17"/>
      <c r="J441" s="20" t="str">
        <f aca="false">IF(B441="","",IFERROR(INDEX(Listas!$B$2:$B$40,MATCH(B441,Listas!$A$2:$A$40,0)),""))</f>
        <v/>
      </c>
    </row>
    <row r="442" customFormat="false" ht="15" hidden="false" customHeight="false" outlineLevel="0" collapsed="false">
      <c r="A442" s="19"/>
      <c r="B442" s="17"/>
      <c r="C442" s="17"/>
      <c r="D442" s="18"/>
      <c r="E442" s="17"/>
      <c r="F442" s="22"/>
      <c r="G442" s="22"/>
      <c r="H442" s="22"/>
      <c r="I442" s="17"/>
      <c r="J442" s="20" t="str">
        <f aca="false">IF(B442="","",IFERROR(INDEX(Listas!$B$2:$B$40,MATCH(B442,Listas!$A$2:$A$40,0)),""))</f>
        <v/>
      </c>
    </row>
    <row r="443" customFormat="false" ht="15" hidden="false" customHeight="false" outlineLevel="0" collapsed="false">
      <c r="A443" s="19"/>
      <c r="B443" s="17"/>
      <c r="C443" s="17"/>
      <c r="D443" s="18"/>
      <c r="E443" s="17"/>
      <c r="F443" s="22"/>
      <c r="G443" s="22"/>
      <c r="H443" s="22"/>
      <c r="I443" s="17"/>
      <c r="J443" s="20" t="str">
        <f aca="false">IF(B443="","",IFERROR(INDEX(Listas!$B$2:$B$40,MATCH(B443,Listas!$A$2:$A$40,0)),""))</f>
        <v/>
      </c>
    </row>
    <row r="444" customFormat="false" ht="15" hidden="false" customHeight="false" outlineLevel="0" collapsed="false">
      <c r="A444" s="19"/>
      <c r="B444" s="17"/>
      <c r="C444" s="17"/>
      <c r="D444" s="18"/>
      <c r="E444" s="17"/>
      <c r="F444" s="22"/>
      <c r="G444" s="22"/>
      <c r="H444" s="22"/>
      <c r="I444" s="17"/>
      <c r="J444" s="20" t="str">
        <f aca="false">IF(B444="","",IFERROR(INDEX(Listas!$B$2:$B$40,MATCH(B444,Listas!$A$2:$A$40,0)),""))</f>
        <v/>
      </c>
    </row>
    <row r="445" customFormat="false" ht="15" hidden="false" customHeight="false" outlineLevel="0" collapsed="false">
      <c r="A445" s="19"/>
      <c r="B445" s="17"/>
      <c r="C445" s="17"/>
      <c r="D445" s="18"/>
      <c r="E445" s="17"/>
      <c r="F445" s="22"/>
      <c r="G445" s="22"/>
      <c r="H445" s="22"/>
      <c r="I445" s="17"/>
      <c r="J445" s="20" t="str">
        <f aca="false">IF(B445="","",IFERROR(INDEX(Listas!$B$2:$B$40,MATCH(B445,Listas!$A$2:$A$40,0)),""))</f>
        <v/>
      </c>
    </row>
    <row r="446" customFormat="false" ht="15" hidden="false" customHeight="false" outlineLevel="0" collapsed="false">
      <c r="A446" s="19"/>
      <c r="B446" s="17"/>
      <c r="C446" s="17"/>
      <c r="D446" s="18"/>
      <c r="E446" s="17"/>
      <c r="F446" s="22"/>
      <c r="G446" s="22"/>
      <c r="H446" s="22"/>
      <c r="I446" s="17"/>
      <c r="J446" s="20" t="str">
        <f aca="false">IF(B446="","",IFERROR(INDEX(Listas!$B$2:$B$40,MATCH(B446,Listas!$A$2:$A$40,0)),""))</f>
        <v/>
      </c>
    </row>
    <row r="447" customFormat="false" ht="15" hidden="false" customHeight="false" outlineLevel="0" collapsed="false">
      <c r="A447" s="19"/>
      <c r="B447" s="17"/>
      <c r="C447" s="17"/>
      <c r="D447" s="18"/>
      <c r="E447" s="17"/>
      <c r="F447" s="22"/>
      <c r="G447" s="22"/>
      <c r="H447" s="22"/>
      <c r="I447" s="17"/>
      <c r="J447" s="20" t="str">
        <f aca="false">IF(B447="","",IFERROR(INDEX(Listas!$B$2:$B$40,MATCH(B447,Listas!$A$2:$A$40,0)),""))</f>
        <v/>
      </c>
    </row>
    <row r="448" customFormat="false" ht="15" hidden="false" customHeight="false" outlineLevel="0" collapsed="false">
      <c r="A448" s="19"/>
      <c r="B448" s="17"/>
      <c r="C448" s="17"/>
      <c r="D448" s="18"/>
      <c r="E448" s="17"/>
      <c r="F448" s="22"/>
      <c r="G448" s="22"/>
      <c r="H448" s="22"/>
      <c r="I448" s="17"/>
      <c r="J448" s="20" t="str">
        <f aca="false">IF(B448="","",IFERROR(INDEX(Listas!$B$2:$B$40,MATCH(B448,Listas!$A$2:$A$40,0)),""))</f>
        <v/>
      </c>
    </row>
    <row r="449" customFormat="false" ht="15" hidden="false" customHeight="false" outlineLevel="0" collapsed="false">
      <c r="A449" s="19"/>
      <c r="B449" s="17"/>
      <c r="C449" s="17"/>
      <c r="D449" s="18"/>
      <c r="E449" s="17"/>
      <c r="F449" s="22"/>
      <c r="G449" s="22"/>
      <c r="H449" s="22"/>
      <c r="I449" s="17"/>
      <c r="J449" s="20" t="str">
        <f aca="false">IF(B449="","",IFERROR(INDEX(Listas!$B$2:$B$40,MATCH(B449,Listas!$A$2:$A$40,0)),""))</f>
        <v/>
      </c>
    </row>
    <row r="450" customFormat="false" ht="15" hidden="false" customHeight="false" outlineLevel="0" collapsed="false">
      <c r="A450" s="19"/>
      <c r="B450" s="17"/>
      <c r="C450" s="17"/>
      <c r="D450" s="18"/>
      <c r="E450" s="17"/>
      <c r="F450" s="22"/>
      <c r="G450" s="22"/>
      <c r="H450" s="22"/>
      <c r="I450" s="17"/>
      <c r="J450" s="20" t="str">
        <f aca="false">IF(B450="","",IFERROR(INDEX(Listas!$B$2:$B$40,MATCH(B450,Listas!$A$2:$A$40,0)),""))</f>
        <v/>
      </c>
    </row>
    <row r="451" customFormat="false" ht="15" hidden="false" customHeight="false" outlineLevel="0" collapsed="false">
      <c r="A451" s="19"/>
      <c r="B451" s="17"/>
      <c r="C451" s="17"/>
      <c r="D451" s="18"/>
      <c r="E451" s="17"/>
      <c r="F451" s="22"/>
      <c r="G451" s="22"/>
      <c r="H451" s="22"/>
      <c r="I451" s="17"/>
      <c r="J451" s="20" t="str">
        <f aca="false">IF(B451="","",IFERROR(INDEX(Listas!$B$2:$B$40,MATCH(B451,Listas!$A$2:$A$40,0)),""))</f>
        <v/>
      </c>
    </row>
    <row r="452" customFormat="false" ht="15" hidden="false" customHeight="false" outlineLevel="0" collapsed="false">
      <c r="A452" s="19"/>
      <c r="B452" s="17"/>
      <c r="C452" s="17"/>
      <c r="D452" s="18"/>
      <c r="E452" s="17"/>
      <c r="F452" s="22"/>
      <c r="G452" s="22"/>
      <c r="H452" s="22"/>
      <c r="I452" s="17"/>
      <c r="J452" s="20" t="str">
        <f aca="false">IF(B452="","",IFERROR(INDEX(Listas!$B$2:$B$40,MATCH(B452,Listas!$A$2:$A$40,0)),""))</f>
        <v/>
      </c>
    </row>
    <row r="453" customFormat="false" ht="15" hidden="false" customHeight="false" outlineLevel="0" collapsed="false">
      <c r="A453" s="19"/>
      <c r="B453" s="17"/>
      <c r="C453" s="17"/>
      <c r="D453" s="18"/>
      <c r="E453" s="17"/>
      <c r="F453" s="22"/>
      <c r="G453" s="22"/>
      <c r="H453" s="22"/>
      <c r="I453" s="17"/>
      <c r="J453" s="20" t="str">
        <f aca="false">IF(B453="","",IFERROR(INDEX(Listas!$B$2:$B$40,MATCH(B453,Listas!$A$2:$A$40,0)),""))</f>
        <v/>
      </c>
    </row>
    <row r="454" customFormat="false" ht="15" hidden="false" customHeight="false" outlineLevel="0" collapsed="false">
      <c r="A454" s="19"/>
      <c r="B454" s="17"/>
      <c r="C454" s="17"/>
      <c r="D454" s="18"/>
      <c r="E454" s="17"/>
      <c r="F454" s="22"/>
      <c r="G454" s="22"/>
      <c r="H454" s="22"/>
      <c r="I454" s="17"/>
      <c r="J454" s="20" t="str">
        <f aca="false">IF(B454="","",IFERROR(INDEX(Listas!$B$2:$B$40,MATCH(B454,Listas!$A$2:$A$40,0)),""))</f>
        <v/>
      </c>
    </row>
    <row r="455" customFormat="false" ht="15" hidden="false" customHeight="false" outlineLevel="0" collapsed="false">
      <c r="A455" s="19"/>
      <c r="B455" s="17"/>
      <c r="C455" s="17"/>
      <c r="D455" s="18"/>
      <c r="E455" s="17"/>
      <c r="F455" s="22"/>
      <c r="G455" s="22"/>
      <c r="H455" s="22"/>
      <c r="I455" s="17"/>
      <c r="J455" s="20" t="str">
        <f aca="false">IF(B455="","",IFERROR(INDEX(Listas!$B$2:$B$40,MATCH(B455,Listas!$A$2:$A$40,0)),""))</f>
        <v/>
      </c>
    </row>
    <row r="456" customFormat="false" ht="15" hidden="false" customHeight="false" outlineLevel="0" collapsed="false">
      <c r="A456" s="19"/>
      <c r="B456" s="17"/>
      <c r="C456" s="17"/>
      <c r="D456" s="18"/>
      <c r="E456" s="17"/>
      <c r="F456" s="22"/>
      <c r="G456" s="22"/>
      <c r="H456" s="22"/>
      <c r="I456" s="17"/>
      <c r="J456" s="20" t="str">
        <f aca="false">IF(B456="","",IFERROR(INDEX(Listas!$B$2:$B$40,MATCH(B456,Listas!$A$2:$A$40,0)),""))</f>
        <v/>
      </c>
    </row>
    <row r="457" customFormat="false" ht="15" hidden="false" customHeight="false" outlineLevel="0" collapsed="false">
      <c r="A457" s="19"/>
      <c r="B457" s="17"/>
      <c r="C457" s="17"/>
      <c r="D457" s="18"/>
      <c r="E457" s="17"/>
      <c r="F457" s="22"/>
      <c r="G457" s="22"/>
      <c r="H457" s="22"/>
      <c r="I457" s="17"/>
      <c r="J457" s="20" t="str">
        <f aca="false">IF(B457="","",IFERROR(INDEX(Listas!$B$2:$B$40,MATCH(B457,Listas!$A$2:$A$40,0)),""))</f>
        <v/>
      </c>
    </row>
    <row r="458" customFormat="false" ht="15" hidden="false" customHeight="false" outlineLevel="0" collapsed="false">
      <c r="A458" s="19"/>
      <c r="B458" s="17"/>
      <c r="C458" s="17"/>
      <c r="D458" s="18"/>
      <c r="E458" s="17"/>
      <c r="F458" s="22"/>
      <c r="G458" s="22"/>
      <c r="H458" s="22"/>
      <c r="I458" s="17"/>
      <c r="J458" s="20" t="str">
        <f aca="false">IF(B458="","",IFERROR(INDEX(Listas!$B$2:$B$40,MATCH(B458,Listas!$A$2:$A$40,0)),""))</f>
        <v/>
      </c>
    </row>
    <row r="459" customFormat="false" ht="15" hidden="false" customHeight="false" outlineLevel="0" collapsed="false">
      <c r="A459" s="19"/>
      <c r="B459" s="17"/>
      <c r="C459" s="17"/>
      <c r="D459" s="18"/>
      <c r="E459" s="17"/>
      <c r="F459" s="22"/>
      <c r="G459" s="22"/>
      <c r="H459" s="22"/>
      <c r="I459" s="17"/>
      <c r="J459" s="20" t="str">
        <f aca="false">IF(B459="","",IFERROR(INDEX(Listas!$B$2:$B$40,MATCH(B459,Listas!$A$2:$A$40,0)),""))</f>
        <v/>
      </c>
    </row>
    <row r="460" customFormat="false" ht="15" hidden="false" customHeight="false" outlineLevel="0" collapsed="false">
      <c r="A460" s="19"/>
      <c r="B460" s="17"/>
      <c r="C460" s="17"/>
      <c r="D460" s="18"/>
      <c r="E460" s="17"/>
      <c r="F460" s="22"/>
      <c r="G460" s="22"/>
      <c r="H460" s="22"/>
      <c r="I460" s="17"/>
      <c r="J460" s="20" t="str">
        <f aca="false">IF(B460="","",IFERROR(INDEX(Listas!$B$2:$B$40,MATCH(B460,Listas!$A$2:$A$40,0)),""))</f>
        <v/>
      </c>
    </row>
    <row r="461" customFormat="false" ht="15" hidden="false" customHeight="false" outlineLevel="0" collapsed="false">
      <c r="A461" s="19"/>
      <c r="B461" s="17"/>
      <c r="C461" s="17"/>
      <c r="D461" s="18"/>
      <c r="E461" s="17"/>
      <c r="F461" s="22"/>
      <c r="G461" s="22"/>
      <c r="H461" s="22"/>
      <c r="I461" s="17"/>
      <c r="J461" s="20" t="str">
        <f aca="false">IF(B461="","",IFERROR(INDEX(Listas!$B$2:$B$40,MATCH(B461,Listas!$A$2:$A$40,0)),""))</f>
        <v/>
      </c>
    </row>
    <row r="462" customFormat="false" ht="15" hidden="false" customHeight="false" outlineLevel="0" collapsed="false">
      <c r="A462" s="19"/>
      <c r="B462" s="17"/>
      <c r="C462" s="17"/>
      <c r="D462" s="18"/>
      <c r="E462" s="17"/>
      <c r="F462" s="22"/>
      <c r="G462" s="22"/>
      <c r="H462" s="22"/>
      <c r="I462" s="17"/>
      <c r="J462" s="20" t="str">
        <f aca="false">IF(B462="","",IFERROR(INDEX(Listas!$B$2:$B$40,MATCH(B462,Listas!$A$2:$A$40,0)),""))</f>
        <v/>
      </c>
    </row>
    <row r="463" customFormat="false" ht="15" hidden="false" customHeight="false" outlineLevel="0" collapsed="false">
      <c r="A463" s="19"/>
      <c r="B463" s="17"/>
      <c r="C463" s="17"/>
      <c r="D463" s="18"/>
      <c r="E463" s="17"/>
      <c r="F463" s="22"/>
      <c r="G463" s="22"/>
      <c r="H463" s="22"/>
      <c r="I463" s="17"/>
      <c r="J463" s="20" t="str">
        <f aca="false">IF(B463="","",IFERROR(INDEX(Listas!$B$2:$B$40,MATCH(B463,Listas!$A$2:$A$40,0)),""))</f>
        <v/>
      </c>
    </row>
    <row r="464" customFormat="false" ht="15" hidden="false" customHeight="false" outlineLevel="0" collapsed="false">
      <c r="A464" s="19"/>
      <c r="B464" s="17"/>
      <c r="C464" s="17"/>
      <c r="D464" s="18"/>
      <c r="E464" s="17"/>
      <c r="F464" s="22"/>
      <c r="G464" s="22"/>
      <c r="H464" s="22"/>
      <c r="I464" s="17"/>
      <c r="J464" s="20" t="str">
        <f aca="false">IF(B464="","",IFERROR(INDEX(Listas!$B$2:$B$40,MATCH(B464,Listas!$A$2:$A$40,0)),""))</f>
        <v/>
      </c>
    </row>
    <row r="465" customFormat="false" ht="15" hidden="false" customHeight="false" outlineLevel="0" collapsed="false">
      <c r="A465" s="19"/>
      <c r="B465" s="17"/>
      <c r="C465" s="17"/>
      <c r="D465" s="18"/>
      <c r="E465" s="17"/>
      <c r="F465" s="22"/>
      <c r="G465" s="22"/>
      <c r="H465" s="22"/>
      <c r="I465" s="17"/>
      <c r="J465" s="20" t="str">
        <f aca="false">IF(B465="","",IFERROR(INDEX(Listas!$B$2:$B$40,MATCH(B465,Listas!$A$2:$A$40,0)),""))</f>
        <v/>
      </c>
    </row>
    <row r="466" customFormat="false" ht="15" hidden="false" customHeight="false" outlineLevel="0" collapsed="false">
      <c r="A466" s="19"/>
      <c r="B466" s="17"/>
      <c r="C466" s="17"/>
      <c r="D466" s="18"/>
      <c r="E466" s="17"/>
      <c r="F466" s="22"/>
      <c r="G466" s="22"/>
      <c r="H466" s="22"/>
      <c r="I466" s="17"/>
      <c r="J466" s="20" t="str">
        <f aca="false">IF(B466="","",IFERROR(INDEX(Listas!$B$2:$B$40,MATCH(B466,Listas!$A$2:$A$40,0)),""))</f>
        <v/>
      </c>
    </row>
    <row r="467" customFormat="false" ht="15" hidden="false" customHeight="false" outlineLevel="0" collapsed="false">
      <c r="A467" s="19"/>
      <c r="B467" s="17"/>
      <c r="C467" s="17"/>
      <c r="D467" s="18"/>
      <c r="E467" s="17"/>
      <c r="F467" s="22"/>
      <c r="G467" s="22"/>
      <c r="H467" s="22"/>
      <c r="I467" s="17"/>
      <c r="J467" s="20" t="str">
        <f aca="false">IF(B467="","",IFERROR(INDEX(Listas!$B$2:$B$40,MATCH(B467,Listas!$A$2:$A$40,0)),""))</f>
        <v/>
      </c>
    </row>
    <row r="468" customFormat="false" ht="15" hidden="false" customHeight="false" outlineLevel="0" collapsed="false">
      <c r="A468" s="19"/>
      <c r="B468" s="17"/>
      <c r="C468" s="17"/>
      <c r="D468" s="18"/>
      <c r="E468" s="17"/>
      <c r="F468" s="22"/>
      <c r="G468" s="22"/>
      <c r="H468" s="22"/>
      <c r="I468" s="17"/>
      <c r="J468" s="20" t="str">
        <f aca="false">IF(B468="","",IFERROR(INDEX(Listas!$B$2:$B$40,MATCH(B468,Listas!$A$2:$A$40,0)),""))</f>
        <v/>
      </c>
    </row>
    <row r="469" customFormat="false" ht="15" hidden="false" customHeight="false" outlineLevel="0" collapsed="false">
      <c r="A469" s="19"/>
      <c r="B469" s="17"/>
      <c r="C469" s="17"/>
      <c r="D469" s="18"/>
      <c r="E469" s="17"/>
      <c r="F469" s="22"/>
      <c r="G469" s="22"/>
      <c r="H469" s="22"/>
      <c r="I469" s="17"/>
      <c r="J469" s="20" t="str">
        <f aca="false">IF(B469="","",IFERROR(INDEX(Listas!$B$2:$B$40,MATCH(B469,Listas!$A$2:$A$40,0)),""))</f>
        <v/>
      </c>
    </row>
    <row r="470" customFormat="false" ht="15" hidden="false" customHeight="false" outlineLevel="0" collapsed="false">
      <c r="A470" s="19"/>
      <c r="B470" s="17"/>
      <c r="C470" s="17"/>
      <c r="D470" s="18"/>
      <c r="E470" s="17"/>
      <c r="F470" s="22"/>
      <c r="G470" s="22"/>
      <c r="H470" s="22"/>
      <c r="I470" s="17"/>
      <c r="J470" s="20" t="str">
        <f aca="false">IF(B470="","",IFERROR(INDEX(Listas!$B$2:$B$40,MATCH(B470,Listas!$A$2:$A$40,0)),""))</f>
        <v/>
      </c>
    </row>
    <row r="471" customFormat="false" ht="15" hidden="false" customHeight="false" outlineLevel="0" collapsed="false">
      <c r="A471" s="19"/>
      <c r="B471" s="17"/>
      <c r="C471" s="17"/>
      <c r="D471" s="18"/>
      <c r="E471" s="17"/>
      <c r="F471" s="22"/>
      <c r="G471" s="22"/>
      <c r="H471" s="22"/>
      <c r="I471" s="17"/>
      <c r="J471" s="20" t="str">
        <f aca="false">IF(B471="","",IFERROR(INDEX(Listas!$B$2:$B$40,MATCH(B471,Listas!$A$2:$A$40,0)),""))</f>
        <v/>
      </c>
    </row>
    <row r="472" customFormat="false" ht="15" hidden="false" customHeight="false" outlineLevel="0" collapsed="false">
      <c r="A472" s="19"/>
      <c r="B472" s="17"/>
      <c r="C472" s="17"/>
      <c r="D472" s="18"/>
      <c r="E472" s="17"/>
      <c r="F472" s="22"/>
      <c r="G472" s="22"/>
      <c r="H472" s="22"/>
      <c r="I472" s="17"/>
      <c r="J472" s="20" t="str">
        <f aca="false">IF(B472="","",IFERROR(INDEX(Listas!$B$2:$B$40,MATCH(B472,Listas!$A$2:$A$40,0)),""))</f>
        <v/>
      </c>
    </row>
    <row r="473" customFormat="false" ht="15" hidden="false" customHeight="false" outlineLevel="0" collapsed="false">
      <c r="A473" s="19"/>
      <c r="B473" s="17"/>
      <c r="C473" s="17"/>
      <c r="D473" s="18"/>
      <c r="E473" s="17"/>
      <c r="F473" s="22"/>
      <c r="G473" s="22"/>
      <c r="H473" s="22"/>
      <c r="I473" s="17"/>
      <c r="J473" s="20" t="str">
        <f aca="false">IF(B473="","",IFERROR(INDEX(Listas!$B$2:$B$40,MATCH(B473,Listas!$A$2:$A$40,0)),""))</f>
        <v/>
      </c>
    </row>
    <row r="474" customFormat="false" ht="15" hidden="false" customHeight="false" outlineLevel="0" collapsed="false">
      <c r="A474" s="19"/>
      <c r="B474" s="17"/>
      <c r="C474" s="17"/>
      <c r="D474" s="18"/>
      <c r="E474" s="17"/>
      <c r="F474" s="22"/>
      <c r="G474" s="22"/>
      <c r="H474" s="22"/>
      <c r="I474" s="17"/>
      <c r="J474" s="20" t="str">
        <f aca="false">IF(B474="","",IFERROR(INDEX(Listas!$B$2:$B$40,MATCH(B474,Listas!$A$2:$A$40,0)),""))</f>
        <v/>
      </c>
    </row>
    <row r="475" customFormat="false" ht="15" hidden="false" customHeight="false" outlineLevel="0" collapsed="false">
      <c r="A475" s="19"/>
      <c r="B475" s="17"/>
      <c r="C475" s="17"/>
      <c r="D475" s="18"/>
      <c r="E475" s="17"/>
      <c r="F475" s="22"/>
      <c r="G475" s="22"/>
      <c r="H475" s="22"/>
      <c r="I475" s="17"/>
      <c r="J475" s="20" t="str">
        <f aca="false">IF(B475="","",IFERROR(INDEX(Listas!$B$2:$B$40,MATCH(B475,Listas!$A$2:$A$40,0)),""))</f>
        <v/>
      </c>
    </row>
    <row r="476" customFormat="false" ht="15" hidden="false" customHeight="false" outlineLevel="0" collapsed="false">
      <c r="A476" s="19"/>
      <c r="B476" s="17"/>
      <c r="C476" s="17"/>
      <c r="D476" s="18"/>
      <c r="E476" s="17"/>
      <c r="F476" s="22"/>
      <c r="G476" s="22"/>
      <c r="H476" s="22"/>
      <c r="I476" s="17"/>
      <c r="J476" s="20" t="str">
        <f aca="false">IF(B476="","",IFERROR(INDEX(Listas!$B$2:$B$40,MATCH(B476,Listas!$A$2:$A$40,0)),""))</f>
        <v/>
      </c>
    </row>
    <row r="477" customFormat="false" ht="15" hidden="false" customHeight="false" outlineLevel="0" collapsed="false">
      <c r="A477" s="19"/>
      <c r="B477" s="17"/>
      <c r="C477" s="17"/>
      <c r="D477" s="18"/>
      <c r="E477" s="17"/>
      <c r="F477" s="22"/>
      <c r="G477" s="22"/>
      <c r="H477" s="22"/>
      <c r="I477" s="17"/>
      <c r="J477" s="20" t="str">
        <f aca="false">IF(B477="","",IFERROR(INDEX(Listas!$B$2:$B$40,MATCH(B477,Listas!$A$2:$A$40,0)),""))</f>
        <v/>
      </c>
    </row>
    <row r="478" customFormat="false" ht="15" hidden="false" customHeight="false" outlineLevel="0" collapsed="false">
      <c r="A478" s="19"/>
      <c r="B478" s="17"/>
      <c r="C478" s="17"/>
      <c r="D478" s="18"/>
      <c r="E478" s="17"/>
      <c r="F478" s="22"/>
      <c r="G478" s="22"/>
      <c r="H478" s="22"/>
      <c r="I478" s="17"/>
      <c r="J478" s="20" t="str">
        <f aca="false">IF(B478="","",IFERROR(INDEX(Listas!$B$2:$B$40,MATCH(B478,Listas!$A$2:$A$40,0)),""))</f>
        <v/>
      </c>
    </row>
    <row r="479" customFormat="false" ht="15" hidden="false" customHeight="false" outlineLevel="0" collapsed="false">
      <c r="A479" s="19"/>
      <c r="B479" s="17"/>
      <c r="C479" s="17"/>
      <c r="D479" s="18"/>
      <c r="E479" s="17"/>
      <c r="F479" s="22"/>
      <c r="G479" s="22"/>
      <c r="H479" s="22"/>
      <c r="I479" s="17"/>
      <c r="J479" s="20" t="str">
        <f aca="false">IF(B479="","",IFERROR(INDEX(Listas!$B$2:$B$40,MATCH(B479,Listas!$A$2:$A$40,0)),""))</f>
        <v/>
      </c>
    </row>
    <row r="480" customFormat="false" ht="15" hidden="false" customHeight="false" outlineLevel="0" collapsed="false">
      <c r="A480" s="19"/>
      <c r="B480" s="17"/>
      <c r="C480" s="17"/>
      <c r="D480" s="18"/>
      <c r="E480" s="17"/>
      <c r="F480" s="22"/>
      <c r="G480" s="22"/>
      <c r="H480" s="22"/>
      <c r="I480" s="17"/>
      <c r="J480" s="20" t="str">
        <f aca="false">IF(B480="","",IFERROR(INDEX(Listas!$B$2:$B$40,MATCH(B480,Listas!$A$2:$A$40,0)),""))</f>
        <v/>
      </c>
    </row>
    <row r="481" customFormat="false" ht="15" hidden="false" customHeight="false" outlineLevel="0" collapsed="false">
      <c r="A481" s="19"/>
      <c r="B481" s="17"/>
      <c r="C481" s="17"/>
      <c r="D481" s="18"/>
      <c r="E481" s="17"/>
      <c r="F481" s="22"/>
      <c r="G481" s="22"/>
      <c r="H481" s="22"/>
      <c r="I481" s="17"/>
      <c r="J481" s="20" t="str">
        <f aca="false">IF(B481="","",IFERROR(INDEX(Listas!$B$2:$B$40,MATCH(B481,Listas!$A$2:$A$40,0)),""))</f>
        <v/>
      </c>
    </row>
    <row r="482" customFormat="false" ht="15" hidden="false" customHeight="false" outlineLevel="0" collapsed="false">
      <c r="A482" s="19"/>
      <c r="B482" s="17"/>
      <c r="C482" s="17"/>
      <c r="D482" s="18"/>
      <c r="E482" s="17"/>
      <c r="F482" s="22"/>
      <c r="G482" s="22"/>
      <c r="H482" s="22"/>
      <c r="I482" s="17"/>
      <c r="J482" s="20" t="str">
        <f aca="false">IF(B482="","",IFERROR(INDEX(Listas!$B$2:$B$40,MATCH(B482,Listas!$A$2:$A$40,0)),""))</f>
        <v/>
      </c>
    </row>
    <row r="483" customFormat="false" ht="15" hidden="false" customHeight="false" outlineLevel="0" collapsed="false">
      <c r="A483" s="19"/>
      <c r="B483" s="17"/>
      <c r="C483" s="17"/>
      <c r="D483" s="18"/>
      <c r="E483" s="17"/>
      <c r="F483" s="22"/>
      <c r="G483" s="22"/>
      <c r="H483" s="22"/>
      <c r="I483" s="17"/>
      <c r="J483" s="20" t="str">
        <f aca="false">IF(B483="","",IFERROR(INDEX(Listas!$B$2:$B$40,MATCH(B483,Listas!$A$2:$A$40,0)),""))</f>
        <v/>
      </c>
    </row>
    <row r="484" customFormat="false" ht="15" hidden="false" customHeight="false" outlineLevel="0" collapsed="false">
      <c r="A484" s="19"/>
      <c r="B484" s="17"/>
      <c r="C484" s="17"/>
      <c r="D484" s="18"/>
      <c r="E484" s="17"/>
      <c r="F484" s="22"/>
      <c r="G484" s="22"/>
      <c r="H484" s="22"/>
      <c r="I484" s="17"/>
      <c r="J484" s="20" t="str">
        <f aca="false">IF(B484="","",IFERROR(INDEX(Listas!$B$2:$B$40,MATCH(B484,Listas!$A$2:$A$40,0)),""))</f>
        <v/>
      </c>
    </row>
    <row r="485" customFormat="false" ht="15" hidden="false" customHeight="false" outlineLevel="0" collapsed="false">
      <c r="A485" s="19"/>
      <c r="B485" s="17"/>
      <c r="C485" s="17"/>
      <c r="D485" s="18"/>
      <c r="E485" s="17"/>
      <c r="F485" s="22"/>
      <c r="G485" s="22"/>
      <c r="H485" s="22"/>
      <c r="I485" s="17"/>
      <c r="J485" s="20" t="str">
        <f aca="false">IF(B485="","",IFERROR(INDEX(Listas!$B$2:$B$40,MATCH(B485,Listas!$A$2:$A$40,0)),""))</f>
        <v/>
      </c>
    </row>
    <row r="486" customFormat="false" ht="15" hidden="false" customHeight="false" outlineLevel="0" collapsed="false">
      <c r="A486" s="19"/>
      <c r="B486" s="17"/>
      <c r="C486" s="17"/>
      <c r="D486" s="18"/>
      <c r="E486" s="17"/>
      <c r="F486" s="22"/>
      <c r="G486" s="22"/>
      <c r="H486" s="22"/>
      <c r="I486" s="17"/>
      <c r="J486" s="20" t="str">
        <f aca="false">IF(B486="","",IFERROR(INDEX(Listas!$B$2:$B$40,MATCH(B486,Listas!$A$2:$A$40,0)),""))</f>
        <v/>
      </c>
    </row>
    <row r="487" customFormat="false" ht="15" hidden="false" customHeight="false" outlineLevel="0" collapsed="false">
      <c r="A487" s="19"/>
      <c r="B487" s="17"/>
      <c r="C487" s="17"/>
      <c r="D487" s="18"/>
      <c r="E487" s="17"/>
      <c r="F487" s="22"/>
      <c r="G487" s="22"/>
      <c r="H487" s="22"/>
      <c r="I487" s="17"/>
      <c r="J487" s="20" t="str">
        <f aca="false">IF(B487="","",IFERROR(INDEX(Listas!$B$2:$B$40,MATCH(B487,Listas!$A$2:$A$40,0)),""))</f>
        <v/>
      </c>
    </row>
    <row r="488" customFormat="false" ht="15" hidden="false" customHeight="false" outlineLevel="0" collapsed="false">
      <c r="A488" s="19"/>
      <c r="B488" s="17"/>
      <c r="C488" s="17"/>
      <c r="D488" s="18"/>
      <c r="E488" s="17"/>
      <c r="F488" s="22"/>
      <c r="G488" s="22"/>
      <c r="H488" s="22"/>
      <c r="I488" s="17"/>
      <c r="J488" s="20" t="str">
        <f aca="false">IF(B488="","",IFERROR(INDEX(Listas!$B$2:$B$40,MATCH(B488,Listas!$A$2:$A$40,0)),""))</f>
        <v/>
      </c>
    </row>
    <row r="489" customFormat="false" ht="15" hidden="false" customHeight="false" outlineLevel="0" collapsed="false">
      <c r="A489" s="19"/>
      <c r="B489" s="17"/>
      <c r="C489" s="17"/>
      <c r="D489" s="18"/>
      <c r="E489" s="17"/>
      <c r="F489" s="22"/>
      <c r="G489" s="22"/>
      <c r="H489" s="22"/>
      <c r="I489" s="17"/>
      <c r="J489" s="20" t="str">
        <f aca="false">IF(B489="","",IFERROR(INDEX(Listas!$B$2:$B$40,MATCH(B489,Listas!$A$2:$A$40,0)),""))</f>
        <v/>
      </c>
    </row>
    <row r="490" customFormat="false" ht="15" hidden="false" customHeight="false" outlineLevel="0" collapsed="false">
      <c r="A490" s="19"/>
      <c r="B490" s="17"/>
      <c r="C490" s="17"/>
      <c r="D490" s="18"/>
      <c r="E490" s="17"/>
      <c r="F490" s="22"/>
      <c r="G490" s="22"/>
      <c r="H490" s="22"/>
      <c r="I490" s="17"/>
      <c r="J490" s="20" t="str">
        <f aca="false">IF(B490="","",IFERROR(INDEX(Listas!$B$2:$B$40,MATCH(B490,Listas!$A$2:$A$40,0)),""))</f>
        <v/>
      </c>
    </row>
    <row r="491" customFormat="false" ht="15" hidden="false" customHeight="false" outlineLevel="0" collapsed="false">
      <c r="A491" s="19"/>
      <c r="B491" s="17"/>
      <c r="C491" s="17"/>
      <c r="D491" s="18"/>
      <c r="E491" s="17"/>
      <c r="F491" s="22"/>
      <c r="G491" s="22"/>
      <c r="H491" s="22"/>
      <c r="I491" s="17"/>
      <c r="J491" s="20" t="str">
        <f aca="false">IF(B491="","",IFERROR(INDEX(Listas!$B$2:$B$40,MATCH(B491,Listas!$A$2:$A$40,0)),""))</f>
        <v/>
      </c>
    </row>
    <row r="492" customFormat="false" ht="15" hidden="false" customHeight="false" outlineLevel="0" collapsed="false">
      <c r="A492" s="19"/>
      <c r="B492" s="17"/>
      <c r="C492" s="17"/>
      <c r="D492" s="18"/>
      <c r="E492" s="17"/>
      <c r="F492" s="22"/>
      <c r="G492" s="22"/>
      <c r="H492" s="22"/>
      <c r="I492" s="17"/>
      <c r="J492" s="20" t="str">
        <f aca="false">IF(B492="","",IFERROR(INDEX(Listas!$B$2:$B$40,MATCH(B492,Listas!$A$2:$A$40,0)),""))</f>
        <v/>
      </c>
    </row>
    <row r="493" customFormat="false" ht="15" hidden="false" customHeight="false" outlineLevel="0" collapsed="false">
      <c r="A493" s="19"/>
      <c r="B493" s="17"/>
      <c r="C493" s="17"/>
      <c r="D493" s="18"/>
      <c r="E493" s="17"/>
      <c r="F493" s="22"/>
      <c r="G493" s="22"/>
      <c r="H493" s="22"/>
      <c r="I493" s="17"/>
      <c r="J493" s="20" t="str">
        <f aca="false">IF(B493="","",IFERROR(INDEX(Listas!$B$2:$B$40,MATCH(B493,Listas!$A$2:$A$40,0)),""))</f>
        <v/>
      </c>
    </row>
    <row r="494" customFormat="false" ht="15" hidden="false" customHeight="false" outlineLevel="0" collapsed="false">
      <c r="A494" s="19"/>
      <c r="B494" s="17"/>
      <c r="C494" s="17"/>
      <c r="D494" s="18"/>
      <c r="E494" s="17"/>
      <c r="F494" s="22"/>
      <c r="G494" s="22"/>
      <c r="H494" s="22"/>
      <c r="I494" s="17"/>
      <c r="J494" s="20" t="str">
        <f aca="false">IF(B494="","",IFERROR(INDEX(Listas!$B$2:$B$40,MATCH(B494,Listas!$A$2:$A$40,0)),""))</f>
        <v/>
      </c>
    </row>
    <row r="495" customFormat="false" ht="15" hidden="false" customHeight="false" outlineLevel="0" collapsed="false">
      <c r="A495" s="19"/>
      <c r="B495" s="17"/>
      <c r="C495" s="17"/>
      <c r="D495" s="18"/>
      <c r="E495" s="17"/>
      <c r="F495" s="22"/>
      <c r="G495" s="22"/>
      <c r="H495" s="22"/>
      <c r="I495" s="17"/>
      <c r="J495" s="20" t="str">
        <f aca="false">IF(B495="","",IFERROR(INDEX(Listas!$B$2:$B$40,MATCH(B495,Listas!$A$2:$A$40,0)),""))</f>
        <v/>
      </c>
    </row>
    <row r="496" customFormat="false" ht="15" hidden="false" customHeight="false" outlineLevel="0" collapsed="false">
      <c r="A496" s="19"/>
      <c r="B496" s="17"/>
      <c r="C496" s="17"/>
      <c r="D496" s="18"/>
      <c r="E496" s="17"/>
      <c r="F496" s="22"/>
      <c r="G496" s="22"/>
      <c r="H496" s="22"/>
      <c r="I496" s="17"/>
      <c r="J496" s="20" t="str">
        <f aca="false">IF(B496="","",IFERROR(INDEX(Listas!$B$2:$B$40,MATCH(B496,Listas!$A$2:$A$40,0)),""))</f>
        <v/>
      </c>
    </row>
    <row r="497" customFormat="false" ht="15" hidden="false" customHeight="false" outlineLevel="0" collapsed="false">
      <c r="A497" s="19"/>
      <c r="B497" s="17"/>
      <c r="C497" s="17"/>
      <c r="D497" s="18"/>
      <c r="E497" s="17"/>
      <c r="F497" s="22"/>
      <c r="G497" s="22"/>
      <c r="H497" s="22"/>
      <c r="I497" s="17"/>
      <c r="J497" s="20" t="str">
        <f aca="false">IF(B497="","",IFERROR(INDEX(Listas!$B$2:$B$40,MATCH(B497,Listas!$A$2:$A$40,0)),""))</f>
        <v/>
      </c>
    </row>
    <row r="498" customFormat="false" ht="15" hidden="false" customHeight="false" outlineLevel="0" collapsed="false">
      <c r="A498" s="19"/>
      <c r="B498" s="17"/>
      <c r="C498" s="17"/>
      <c r="D498" s="18"/>
      <c r="E498" s="17"/>
      <c r="F498" s="22"/>
      <c r="G498" s="22"/>
      <c r="H498" s="22"/>
      <c r="I498" s="17"/>
      <c r="J498" s="20" t="str">
        <f aca="false">IF(B498="","",IFERROR(INDEX(Listas!$B$2:$B$40,MATCH(B498,Listas!$A$2:$A$40,0)),""))</f>
        <v/>
      </c>
    </row>
    <row r="499" customFormat="false" ht="15" hidden="false" customHeight="false" outlineLevel="0" collapsed="false">
      <c r="A499" s="19"/>
      <c r="B499" s="17"/>
      <c r="C499" s="17"/>
      <c r="D499" s="18"/>
      <c r="E499" s="17"/>
      <c r="F499" s="22"/>
      <c r="G499" s="22"/>
      <c r="H499" s="22"/>
      <c r="I499" s="17"/>
      <c r="J499" s="20" t="str">
        <f aca="false">IF(B499="","",IFERROR(INDEX(Listas!$B$2:$B$40,MATCH(B499,Listas!$A$2:$A$40,0)),""))</f>
        <v/>
      </c>
    </row>
    <row r="500" customFormat="false" ht="15" hidden="false" customHeight="false" outlineLevel="0" collapsed="false">
      <c r="A500" s="19"/>
      <c r="B500" s="17"/>
      <c r="C500" s="17"/>
      <c r="D500" s="18"/>
      <c r="E500" s="17"/>
      <c r="F500" s="22"/>
      <c r="G500" s="22"/>
      <c r="H500" s="22"/>
      <c r="I500" s="17"/>
      <c r="J500" s="20" t="str">
        <f aca="false">IF(B500="","",IFERROR(INDEX(Listas!$B$2:$B$40,MATCH(B500,Listas!$A$2:$A$40,0)),""))</f>
        <v/>
      </c>
    </row>
    <row r="501" customFormat="false" ht="15" hidden="false" customHeight="false" outlineLevel="0" collapsed="false">
      <c r="A501" s="19"/>
      <c r="B501" s="17"/>
      <c r="C501" s="17"/>
      <c r="D501" s="18"/>
      <c r="E501" s="17"/>
      <c r="F501" s="22"/>
      <c r="G501" s="22"/>
      <c r="H501" s="22"/>
      <c r="I501" s="17"/>
      <c r="J501" s="20" t="str">
        <f aca="false">IF(B501="","",IFERROR(INDEX(Listas!$B$2:$B$40,MATCH(B501,Listas!$A$2:$A$40,0)),""))</f>
        <v/>
      </c>
    </row>
    <row r="502" customFormat="false" ht="15" hidden="false" customHeight="false" outlineLevel="0" collapsed="false">
      <c r="A502" s="19"/>
      <c r="B502" s="17"/>
      <c r="C502" s="17"/>
      <c r="D502" s="18"/>
      <c r="E502" s="17"/>
      <c r="F502" s="22"/>
      <c r="G502" s="22"/>
      <c r="H502" s="22"/>
      <c r="I502" s="17"/>
      <c r="J502" s="20" t="str">
        <f aca="false">IF(B502="","",IFERROR(INDEX(Listas!$B$2:$B$40,MATCH(B502,Listas!$A$2:$A$40,0)),""))</f>
        <v/>
      </c>
    </row>
    <row r="503" customFormat="false" ht="15" hidden="false" customHeight="false" outlineLevel="0" collapsed="false">
      <c r="A503" s="19"/>
      <c r="B503" s="17"/>
      <c r="C503" s="17"/>
      <c r="D503" s="18"/>
      <c r="E503" s="17"/>
      <c r="F503" s="22"/>
      <c r="G503" s="22"/>
      <c r="H503" s="22"/>
      <c r="I503" s="17"/>
      <c r="J503" s="20" t="str">
        <f aca="false">IF(B503="","",IFERROR(INDEX(Listas!$B$2:$B$40,MATCH(B503,Listas!$A$2:$A$40,0)),""))</f>
        <v/>
      </c>
    </row>
    <row r="504" customFormat="false" ht="15" hidden="false" customHeight="false" outlineLevel="0" collapsed="false">
      <c r="A504" s="19"/>
      <c r="B504" s="17"/>
      <c r="C504" s="17"/>
      <c r="D504" s="18"/>
      <c r="E504" s="17"/>
      <c r="F504" s="22"/>
      <c r="G504" s="22"/>
      <c r="H504" s="22"/>
      <c r="I504" s="17"/>
      <c r="J504" s="20" t="str">
        <f aca="false">IF(B504="","",IFERROR(INDEX(Listas!$B$2:$B$40,MATCH(B504,Listas!$A$2:$A$40,0)),""))</f>
        <v/>
      </c>
    </row>
    <row r="505" customFormat="false" ht="15" hidden="false" customHeight="false" outlineLevel="0" collapsed="false">
      <c r="A505" s="19"/>
      <c r="B505" s="17"/>
      <c r="C505" s="17"/>
      <c r="D505" s="18"/>
      <c r="E505" s="17"/>
      <c r="F505" s="22"/>
      <c r="G505" s="22"/>
      <c r="H505" s="22"/>
      <c r="I505" s="17"/>
      <c r="J505" s="20" t="str">
        <f aca="false">IF(B505="","",IFERROR(INDEX(Listas!$B$2:$B$40,MATCH(B505,Listas!$A$2:$A$40,0)),""))</f>
        <v/>
      </c>
    </row>
  </sheetData>
  <autoFilter ref="A4:J505"/>
  <conditionalFormatting sqref="D6:D505">
    <cfRule type="expression" priority="2" aboveAverage="0" equalAverage="0" bottom="0" percent="0" rank="0" text="" dxfId="6">
      <formula>AND($F6&lt;&gt;"",$D6="")</formula>
    </cfRule>
  </conditionalFormatting>
  <dataValidations count="5">
    <dataValidation allowBlank="true" error="Informe uma data válida (dd/mm/aaaa)." errorStyle="stop" errorTitle="Data inválida" operator="greaterThan" showDropDown="false" showErrorMessage="true" showInputMessage="false" sqref="A6:A505" type="date">
      <formula1>36526</formula1>
      <formula2>0</formula2>
    </dataValidation>
    <dataValidation allowBlank="true" error="Escolha uma opção da lista." errorStyle="stop" errorTitle="Opção inválida" operator="between" showDropDown="false" showErrorMessage="true" showInputMessage="false" sqref="B6:B505" type="list">
      <formula1>Listas!$A$2:$A$40</formula1>
      <formula2>0</formula2>
    </dataValidation>
    <dataValidation allowBlank="true" error="Informe 11 dígitos (CPF) ou 14 dígitos (CNPJ). Pontos, traço e barra são aceitos." errorStyle="stop" errorTitle="CPF/CNPJ inválido" operator="between" showDropDown="false" showErrorMessage="true" showInputMessage="false" sqref="D6:D505" type="custom">
      <formula1>AND(ISNUMBER(--SUBSTITUTE(SUBSTITUTE(SUBSTITUTE(D6,".",""),"-",""),"/","")),OR(LEN(SUBSTITUTE(SUBSTITUTE(SUBSTITUTE(D6,".",""),"-",""),"/",""))=11,LEN(SUBSTITUTE(SUBSTITUTE(SUBSTITUTE(D6,".",""),"-",""),"/",""))=14))</formula1>
      <formula2>0</formula2>
    </dataValidation>
    <dataValidation allowBlank="true" error="Escolha uma opção da lista." errorStyle="stop" errorTitle="Opção inválida" operator="between" showDropDown="false" showErrorMessage="true" showInputMessage="false" sqref="E6:E505" type="list">
      <formula1>Listas!$F$2:$F$32</formula1>
      <formula2>0</formula2>
    </dataValidation>
    <dataValidation allowBlank="true" error="Informe um número maior ou igual a zero." errorStyle="stop" errorTitle="Valor inválido" operator="greaterThanOrEqual" showDropDown="false" showErrorMessage="true" showInputMessage="false" sqref="F6:H505" type="decimal">
      <formula1>0</formula1>
      <formula2>0</formula2>
    </dataValidation>
  </dataValidations>
  <hyperlinks>
    <hyperlink ref="A3" location="'Menu'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8" min="6" style="0" width="16"/>
    <col collapsed="false" customWidth="true" hidden="false" outlineLevel="0" max="9" min="9" style="0" width="34"/>
  </cols>
  <sheetData>
    <row r="1" customFormat="false" ht="25.5" hidden="false" customHeight="true" outlineLevel="0" collapsed="false">
      <c r="A1" s="7" t="s">
        <v>69</v>
      </c>
    </row>
    <row r="2" customFormat="false" ht="15" hidden="false" customHeight="false" outlineLevel="0" collapsed="false">
      <c r="A2" s="2" t="s">
        <v>70</v>
      </c>
    </row>
    <row r="3" customFormat="false" ht="15" hidden="false" customHeight="false" outlineLevel="0" collapsed="false">
      <c r="A3" s="8" t="s">
        <v>28</v>
      </c>
    </row>
    <row r="4" customFormat="false" ht="31.5" hidden="false" customHeight="true" outlineLevel="0" collapsed="false">
      <c r="A4" s="13" t="s">
        <v>53</v>
      </c>
      <c r="B4" s="13" t="s">
        <v>71</v>
      </c>
      <c r="C4" s="13" t="s">
        <v>72</v>
      </c>
      <c r="D4" s="13" t="s">
        <v>73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</row>
    <row r="5" customFormat="false" ht="15" hidden="false" customHeight="false" outlineLevel="0" collapsed="false">
      <c r="A5" s="16" t="n">
        <v>45826</v>
      </c>
      <c r="B5" s="14" t="s">
        <v>79</v>
      </c>
      <c r="C5" s="14" t="s">
        <v>66</v>
      </c>
      <c r="D5" s="14" t="s">
        <v>80</v>
      </c>
      <c r="E5" s="15" t="s">
        <v>81</v>
      </c>
      <c r="F5" s="21" t="n">
        <v>800</v>
      </c>
      <c r="G5" s="21" t="n">
        <v>0</v>
      </c>
      <c r="H5" s="21" t="n">
        <v>800</v>
      </c>
      <c r="I5" s="14" t="s">
        <v>82</v>
      </c>
    </row>
    <row r="6" customFormat="false" ht="15" hidden="false" customHeight="false" outlineLevel="0" collapsed="false">
      <c r="A6" s="19"/>
      <c r="B6" s="17"/>
      <c r="C6" s="17"/>
      <c r="D6" s="17"/>
      <c r="E6" s="18"/>
      <c r="F6" s="22"/>
      <c r="G6" s="22"/>
      <c r="H6" s="23" t="str">
        <f aca="false">IF(F6="","",MAX(0,F6-N(G6)))</f>
        <v/>
      </c>
      <c r="I6" s="17"/>
    </row>
    <row r="7" customFormat="false" ht="15" hidden="false" customHeight="false" outlineLevel="0" collapsed="false">
      <c r="A7" s="19"/>
      <c r="B7" s="17"/>
      <c r="C7" s="17"/>
      <c r="D7" s="17"/>
      <c r="E7" s="18"/>
      <c r="F7" s="22"/>
      <c r="G7" s="22"/>
      <c r="H7" s="23" t="str">
        <f aca="false">IF(F7="","",MAX(0,F7-N(G7)))</f>
        <v/>
      </c>
      <c r="I7" s="17"/>
    </row>
    <row r="8" customFormat="false" ht="15" hidden="false" customHeight="false" outlineLevel="0" collapsed="false">
      <c r="A8" s="19"/>
      <c r="B8" s="17"/>
      <c r="C8" s="17"/>
      <c r="D8" s="17"/>
      <c r="E8" s="18"/>
      <c r="F8" s="22"/>
      <c r="G8" s="22"/>
      <c r="H8" s="23" t="str">
        <f aca="false">IF(F8="","",MAX(0,F8-N(G8)))</f>
        <v/>
      </c>
      <c r="I8" s="17"/>
    </row>
    <row r="9" customFormat="false" ht="15" hidden="false" customHeight="false" outlineLevel="0" collapsed="false">
      <c r="A9" s="19"/>
      <c r="B9" s="17"/>
      <c r="C9" s="17"/>
      <c r="D9" s="17"/>
      <c r="E9" s="18"/>
      <c r="F9" s="22"/>
      <c r="G9" s="22"/>
      <c r="H9" s="23" t="str">
        <f aca="false">IF(F9="","",MAX(0,F9-N(G9)))</f>
        <v/>
      </c>
      <c r="I9" s="17"/>
    </row>
    <row r="10" customFormat="false" ht="15" hidden="false" customHeight="false" outlineLevel="0" collapsed="false">
      <c r="A10" s="19"/>
      <c r="B10" s="17"/>
      <c r="C10" s="17"/>
      <c r="D10" s="17"/>
      <c r="E10" s="18"/>
      <c r="F10" s="22"/>
      <c r="G10" s="22"/>
      <c r="H10" s="23" t="str">
        <f aca="false">IF(F10="","",MAX(0,F10-N(G10)))</f>
        <v/>
      </c>
      <c r="I10" s="17"/>
    </row>
    <row r="11" customFormat="false" ht="15" hidden="false" customHeight="false" outlineLevel="0" collapsed="false">
      <c r="A11" s="19"/>
      <c r="B11" s="17"/>
      <c r="C11" s="17"/>
      <c r="D11" s="17"/>
      <c r="E11" s="18"/>
      <c r="F11" s="22"/>
      <c r="G11" s="22"/>
      <c r="H11" s="23" t="str">
        <f aca="false">IF(F11="","",MAX(0,F11-N(G11)))</f>
        <v/>
      </c>
      <c r="I11" s="17"/>
    </row>
    <row r="12" customFormat="false" ht="15" hidden="false" customHeight="false" outlineLevel="0" collapsed="false">
      <c r="A12" s="19"/>
      <c r="B12" s="17"/>
      <c r="C12" s="17"/>
      <c r="D12" s="17"/>
      <c r="E12" s="18"/>
      <c r="F12" s="22"/>
      <c r="G12" s="22"/>
      <c r="H12" s="23" t="str">
        <f aca="false">IF(F12="","",MAX(0,F12-N(G12)))</f>
        <v/>
      </c>
      <c r="I12" s="17"/>
    </row>
    <row r="13" customFormat="false" ht="15" hidden="false" customHeight="false" outlineLevel="0" collapsed="false">
      <c r="A13" s="19"/>
      <c r="B13" s="17"/>
      <c r="C13" s="17"/>
      <c r="D13" s="17"/>
      <c r="E13" s="18"/>
      <c r="F13" s="22"/>
      <c r="G13" s="22"/>
      <c r="H13" s="23" t="str">
        <f aca="false">IF(F13="","",MAX(0,F13-N(G13)))</f>
        <v/>
      </c>
      <c r="I13" s="17"/>
    </row>
    <row r="14" customFormat="false" ht="15" hidden="false" customHeight="false" outlineLevel="0" collapsed="false">
      <c r="A14" s="19"/>
      <c r="B14" s="17"/>
      <c r="C14" s="17"/>
      <c r="D14" s="17"/>
      <c r="E14" s="18"/>
      <c r="F14" s="22"/>
      <c r="G14" s="22"/>
      <c r="H14" s="23" t="str">
        <f aca="false">IF(F14="","",MAX(0,F14-N(G14)))</f>
        <v/>
      </c>
      <c r="I14" s="17"/>
    </row>
    <row r="15" customFormat="false" ht="15" hidden="false" customHeight="false" outlineLevel="0" collapsed="false">
      <c r="A15" s="19"/>
      <c r="B15" s="17"/>
      <c r="C15" s="17"/>
      <c r="D15" s="17"/>
      <c r="E15" s="18"/>
      <c r="F15" s="22"/>
      <c r="G15" s="22"/>
      <c r="H15" s="23" t="str">
        <f aca="false">IF(F15="","",MAX(0,F15-N(G15)))</f>
        <v/>
      </c>
      <c r="I15" s="17"/>
    </row>
    <row r="16" customFormat="false" ht="15" hidden="false" customHeight="false" outlineLevel="0" collapsed="false">
      <c r="A16" s="19"/>
      <c r="B16" s="17"/>
      <c r="C16" s="17"/>
      <c r="D16" s="17"/>
      <c r="E16" s="18"/>
      <c r="F16" s="22"/>
      <c r="G16" s="22"/>
      <c r="H16" s="23" t="str">
        <f aca="false">IF(F16="","",MAX(0,F16-N(G16)))</f>
        <v/>
      </c>
      <c r="I16" s="17"/>
    </row>
    <row r="17" customFormat="false" ht="15" hidden="false" customHeight="false" outlineLevel="0" collapsed="false">
      <c r="A17" s="19"/>
      <c r="B17" s="17"/>
      <c r="C17" s="17"/>
      <c r="D17" s="17"/>
      <c r="E17" s="18"/>
      <c r="F17" s="22"/>
      <c r="G17" s="22"/>
      <c r="H17" s="23" t="str">
        <f aca="false">IF(F17="","",MAX(0,F17-N(G17)))</f>
        <v/>
      </c>
      <c r="I17" s="17"/>
    </row>
    <row r="18" customFormat="false" ht="15" hidden="false" customHeight="false" outlineLevel="0" collapsed="false">
      <c r="A18" s="19"/>
      <c r="B18" s="17"/>
      <c r="C18" s="17"/>
      <c r="D18" s="17"/>
      <c r="E18" s="18"/>
      <c r="F18" s="22"/>
      <c r="G18" s="22"/>
      <c r="H18" s="23" t="str">
        <f aca="false">IF(F18="","",MAX(0,F18-N(G18)))</f>
        <v/>
      </c>
      <c r="I18" s="17"/>
    </row>
    <row r="19" customFormat="false" ht="15" hidden="false" customHeight="false" outlineLevel="0" collapsed="false">
      <c r="A19" s="19"/>
      <c r="B19" s="17"/>
      <c r="C19" s="17"/>
      <c r="D19" s="17"/>
      <c r="E19" s="18"/>
      <c r="F19" s="22"/>
      <c r="G19" s="22"/>
      <c r="H19" s="23" t="str">
        <f aca="false">IF(F19="","",MAX(0,F19-N(G19)))</f>
        <v/>
      </c>
      <c r="I19" s="17"/>
    </row>
    <row r="20" customFormat="false" ht="15" hidden="false" customHeight="false" outlineLevel="0" collapsed="false">
      <c r="A20" s="19"/>
      <c r="B20" s="17"/>
      <c r="C20" s="17"/>
      <c r="D20" s="17"/>
      <c r="E20" s="18"/>
      <c r="F20" s="22"/>
      <c r="G20" s="22"/>
      <c r="H20" s="23" t="str">
        <f aca="false">IF(F20="","",MAX(0,F20-N(G20)))</f>
        <v/>
      </c>
      <c r="I20" s="17"/>
    </row>
    <row r="21" customFormat="false" ht="15" hidden="false" customHeight="false" outlineLevel="0" collapsed="false">
      <c r="A21" s="19"/>
      <c r="B21" s="17"/>
      <c r="C21" s="17"/>
      <c r="D21" s="17"/>
      <c r="E21" s="18"/>
      <c r="F21" s="22"/>
      <c r="G21" s="22"/>
      <c r="H21" s="23" t="str">
        <f aca="false">IF(F21="","",MAX(0,F21-N(G21)))</f>
        <v/>
      </c>
      <c r="I21" s="17"/>
    </row>
    <row r="22" customFormat="false" ht="15" hidden="false" customHeight="false" outlineLevel="0" collapsed="false">
      <c r="A22" s="19"/>
      <c r="B22" s="17"/>
      <c r="C22" s="17"/>
      <c r="D22" s="17"/>
      <c r="E22" s="18"/>
      <c r="F22" s="22"/>
      <c r="G22" s="22"/>
      <c r="H22" s="23" t="str">
        <f aca="false">IF(F22="","",MAX(0,F22-N(G22)))</f>
        <v/>
      </c>
      <c r="I22" s="17"/>
    </row>
    <row r="23" customFormat="false" ht="15" hidden="false" customHeight="false" outlineLevel="0" collapsed="false">
      <c r="A23" s="19"/>
      <c r="B23" s="17"/>
      <c r="C23" s="17"/>
      <c r="D23" s="17"/>
      <c r="E23" s="18"/>
      <c r="F23" s="22"/>
      <c r="G23" s="22"/>
      <c r="H23" s="23" t="str">
        <f aca="false">IF(F23="","",MAX(0,F23-N(G23)))</f>
        <v/>
      </c>
      <c r="I23" s="17"/>
    </row>
    <row r="24" customFormat="false" ht="15" hidden="false" customHeight="false" outlineLevel="0" collapsed="false">
      <c r="A24" s="19"/>
      <c r="B24" s="17"/>
      <c r="C24" s="17"/>
      <c r="D24" s="17"/>
      <c r="E24" s="18"/>
      <c r="F24" s="22"/>
      <c r="G24" s="22"/>
      <c r="H24" s="23" t="str">
        <f aca="false">IF(F24="","",MAX(0,F24-N(G24)))</f>
        <v/>
      </c>
      <c r="I24" s="17"/>
    </row>
    <row r="25" customFormat="false" ht="15" hidden="false" customHeight="false" outlineLevel="0" collapsed="false">
      <c r="A25" s="19"/>
      <c r="B25" s="17"/>
      <c r="C25" s="17"/>
      <c r="D25" s="17"/>
      <c r="E25" s="18"/>
      <c r="F25" s="22"/>
      <c r="G25" s="22"/>
      <c r="H25" s="23" t="str">
        <f aca="false">IF(F25="","",MAX(0,F25-N(G25)))</f>
        <v/>
      </c>
      <c r="I25" s="17"/>
    </row>
    <row r="26" customFormat="false" ht="15" hidden="false" customHeight="false" outlineLevel="0" collapsed="false">
      <c r="A26" s="19"/>
      <c r="B26" s="17"/>
      <c r="C26" s="17"/>
      <c r="D26" s="17"/>
      <c r="E26" s="18"/>
      <c r="F26" s="22"/>
      <c r="G26" s="22"/>
      <c r="H26" s="23" t="str">
        <f aca="false">IF(F26="","",MAX(0,F26-N(G26)))</f>
        <v/>
      </c>
      <c r="I26" s="17"/>
    </row>
    <row r="27" customFormat="false" ht="15" hidden="false" customHeight="false" outlineLevel="0" collapsed="false">
      <c r="A27" s="19"/>
      <c r="B27" s="17"/>
      <c r="C27" s="17"/>
      <c r="D27" s="17"/>
      <c r="E27" s="18"/>
      <c r="F27" s="22"/>
      <c r="G27" s="22"/>
      <c r="H27" s="23" t="str">
        <f aca="false">IF(F27="","",MAX(0,F27-N(G27)))</f>
        <v/>
      </c>
      <c r="I27" s="17"/>
    </row>
    <row r="28" customFormat="false" ht="15" hidden="false" customHeight="false" outlineLevel="0" collapsed="false">
      <c r="A28" s="19"/>
      <c r="B28" s="17"/>
      <c r="C28" s="17"/>
      <c r="D28" s="17"/>
      <c r="E28" s="18"/>
      <c r="F28" s="22"/>
      <c r="G28" s="22"/>
      <c r="H28" s="23" t="str">
        <f aca="false">IF(F28="","",MAX(0,F28-N(G28)))</f>
        <v/>
      </c>
      <c r="I28" s="17"/>
    </row>
    <row r="29" customFormat="false" ht="15" hidden="false" customHeight="false" outlineLevel="0" collapsed="false">
      <c r="A29" s="19"/>
      <c r="B29" s="17"/>
      <c r="C29" s="17"/>
      <c r="D29" s="17"/>
      <c r="E29" s="18"/>
      <c r="F29" s="22"/>
      <c r="G29" s="22"/>
      <c r="H29" s="23" t="str">
        <f aca="false">IF(F29="","",MAX(0,F29-N(G29)))</f>
        <v/>
      </c>
      <c r="I29" s="17"/>
    </row>
    <row r="30" customFormat="false" ht="15" hidden="false" customHeight="false" outlineLevel="0" collapsed="false">
      <c r="A30" s="19"/>
      <c r="B30" s="17"/>
      <c r="C30" s="17"/>
      <c r="D30" s="17"/>
      <c r="E30" s="18"/>
      <c r="F30" s="22"/>
      <c r="G30" s="22"/>
      <c r="H30" s="23" t="str">
        <f aca="false">IF(F30="","",MAX(0,F30-N(G30)))</f>
        <v/>
      </c>
      <c r="I30" s="17"/>
    </row>
    <row r="31" customFormat="false" ht="15" hidden="false" customHeight="false" outlineLevel="0" collapsed="false">
      <c r="A31" s="19"/>
      <c r="B31" s="17"/>
      <c r="C31" s="17"/>
      <c r="D31" s="17"/>
      <c r="E31" s="18"/>
      <c r="F31" s="22"/>
      <c r="G31" s="22"/>
      <c r="H31" s="23" t="str">
        <f aca="false">IF(F31="","",MAX(0,F31-N(G31)))</f>
        <v/>
      </c>
      <c r="I31" s="17"/>
    </row>
    <row r="32" customFormat="false" ht="15" hidden="false" customHeight="false" outlineLevel="0" collapsed="false">
      <c r="A32" s="19"/>
      <c r="B32" s="17"/>
      <c r="C32" s="17"/>
      <c r="D32" s="17"/>
      <c r="E32" s="18"/>
      <c r="F32" s="22"/>
      <c r="G32" s="22"/>
      <c r="H32" s="23" t="str">
        <f aca="false">IF(F32="","",MAX(0,F32-N(G32)))</f>
        <v/>
      </c>
      <c r="I32" s="17"/>
    </row>
    <row r="33" customFormat="false" ht="15" hidden="false" customHeight="false" outlineLevel="0" collapsed="false">
      <c r="A33" s="19"/>
      <c r="B33" s="17"/>
      <c r="C33" s="17"/>
      <c r="D33" s="17"/>
      <c r="E33" s="18"/>
      <c r="F33" s="22"/>
      <c r="G33" s="22"/>
      <c r="H33" s="23" t="str">
        <f aca="false">IF(F33="","",MAX(0,F33-N(G33)))</f>
        <v/>
      </c>
      <c r="I33" s="17"/>
    </row>
    <row r="34" customFormat="false" ht="15" hidden="false" customHeight="false" outlineLevel="0" collapsed="false">
      <c r="A34" s="19"/>
      <c r="B34" s="17"/>
      <c r="C34" s="17"/>
      <c r="D34" s="17"/>
      <c r="E34" s="18"/>
      <c r="F34" s="22"/>
      <c r="G34" s="22"/>
      <c r="H34" s="23" t="str">
        <f aca="false">IF(F34="","",MAX(0,F34-N(G34)))</f>
        <v/>
      </c>
      <c r="I34" s="17"/>
    </row>
    <row r="35" customFormat="false" ht="15" hidden="false" customHeight="false" outlineLevel="0" collapsed="false">
      <c r="A35" s="19"/>
      <c r="B35" s="17"/>
      <c r="C35" s="17"/>
      <c r="D35" s="17"/>
      <c r="E35" s="18"/>
      <c r="F35" s="22"/>
      <c r="G35" s="22"/>
      <c r="H35" s="23" t="str">
        <f aca="false">IF(F35="","",MAX(0,F35-N(G35)))</f>
        <v/>
      </c>
      <c r="I35" s="17"/>
    </row>
    <row r="36" customFormat="false" ht="15" hidden="false" customHeight="false" outlineLevel="0" collapsed="false">
      <c r="A36" s="19"/>
      <c r="B36" s="17"/>
      <c r="C36" s="17"/>
      <c r="D36" s="17"/>
      <c r="E36" s="18"/>
      <c r="F36" s="22"/>
      <c r="G36" s="22"/>
      <c r="H36" s="23" t="str">
        <f aca="false">IF(F36="","",MAX(0,F36-N(G36)))</f>
        <v/>
      </c>
      <c r="I36" s="17"/>
    </row>
    <row r="37" customFormat="false" ht="15" hidden="false" customHeight="false" outlineLevel="0" collapsed="false">
      <c r="A37" s="19"/>
      <c r="B37" s="17"/>
      <c r="C37" s="17"/>
      <c r="D37" s="17"/>
      <c r="E37" s="18"/>
      <c r="F37" s="22"/>
      <c r="G37" s="22"/>
      <c r="H37" s="23" t="str">
        <f aca="false">IF(F37="","",MAX(0,F37-N(G37)))</f>
        <v/>
      </c>
      <c r="I37" s="17"/>
    </row>
    <row r="38" customFormat="false" ht="15" hidden="false" customHeight="false" outlineLevel="0" collapsed="false">
      <c r="A38" s="19"/>
      <c r="B38" s="17"/>
      <c r="C38" s="17"/>
      <c r="D38" s="17"/>
      <c r="E38" s="18"/>
      <c r="F38" s="22"/>
      <c r="G38" s="22"/>
      <c r="H38" s="23" t="str">
        <f aca="false">IF(F38="","",MAX(0,F38-N(G38)))</f>
        <v/>
      </c>
      <c r="I38" s="17"/>
    </row>
    <row r="39" customFormat="false" ht="15" hidden="false" customHeight="false" outlineLevel="0" collapsed="false">
      <c r="A39" s="19"/>
      <c r="B39" s="17"/>
      <c r="C39" s="17"/>
      <c r="D39" s="17"/>
      <c r="E39" s="18"/>
      <c r="F39" s="22"/>
      <c r="G39" s="22"/>
      <c r="H39" s="23" t="str">
        <f aca="false">IF(F39="","",MAX(0,F39-N(G39)))</f>
        <v/>
      </c>
      <c r="I39" s="17"/>
    </row>
    <row r="40" customFormat="false" ht="15" hidden="false" customHeight="false" outlineLevel="0" collapsed="false">
      <c r="A40" s="19"/>
      <c r="B40" s="17"/>
      <c r="C40" s="17"/>
      <c r="D40" s="17"/>
      <c r="E40" s="18"/>
      <c r="F40" s="22"/>
      <c r="G40" s="22"/>
      <c r="H40" s="23" t="str">
        <f aca="false">IF(F40="","",MAX(0,F40-N(G40)))</f>
        <v/>
      </c>
      <c r="I40" s="17"/>
    </row>
    <row r="41" customFormat="false" ht="15" hidden="false" customHeight="false" outlineLevel="0" collapsed="false">
      <c r="A41" s="19"/>
      <c r="B41" s="17"/>
      <c r="C41" s="17"/>
      <c r="D41" s="17"/>
      <c r="E41" s="18"/>
      <c r="F41" s="22"/>
      <c r="G41" s="22"/>
      <c r="H41" s="23" t="str">
        <f aca="false">IF(F41="","",MAX(0,F41-N(G41)))</f>
        <v/>
      </c>
      <c r="I41" s="17"/>
    </row>
    <row r="42" customFormat="false" ht="15" hidden="false" customHeight="false" outlineLevel="0" collapsed="false">
      <c r="A42" s="19"/>
      <c r="B42" s="17"/>
      <c r="C42" s="17"/>
      <c r="D42" s="17"/>
      <c r="E42" s="18"/>
      <c r="F42" s="22"/>
      <c r="G42" s="22"/>
      <c r="H42" s="23" t="str">
        <f aca="false">IF(F42="","",MAX(0,F42-N(G42)))</f>
        <v/>
      </c>
      <c r="I42" s="17"/>
    </row>
    <row r="43" customFormat="false" ht="15" hidden="false" customHeight="false" outlineLevel="0" collapsed="false">
      <c r="A43" s="19"/>
      <c r="B43" s="17"/>
      <c r="C43" s="17"/>
      <c r="D43" s="17"/>
      <c r="E43" s="18"/>
      <c r="F43" s="22"/>
      <c r="G43" s="22"/>
      <c r="H43" s="23" t="str">
        <f aca="false">IF(F43="","",MAX(0,F43-N(G43)))</f>
        <v/>
      </c>
      <c r="I43" s="17"/>
    </row>
    <row r="44" customFormat="false" ht="15" hidden="false" customHeight="false" outlineLevel="0" collapsed="false">
      <c r="A44" s="19"/>
      <c r="B44" s="17"/>
      <c r="C44" s="17"/>
      <c r="D44" s="17"/>
      <c r="E44" s="18"/>
      <c r="F44" s="22"/>
      <c r="G44" s="22"/>
      <c r="H44" s="23" t="str">
        <f aca="false">IF(F44="","",MAX(0,F44-N(G44)))</f>
        <v/>
      </c>
      <c r="I44" s="17"/>
    </row>
    <row r="45" customFormat="false" ht="15" hidden="false" customHeight="false" outlineLevel="0" collapsed="false">
      <c r="A45" s="19"/>
      <c r="B45" s="17"/>
      <c r="C45" s="17"/>
      <c r="D45" s="17"/>
      <c r="E45" s="18"/>
      <c r="F45" s="22"/>
      <c r="G45" s="22"/>
      <c r="H45" s="23" t="str">
        <f aca="false">IF(F45="","",MAX(0,F45-N(G45)))</f>
        <v/>
      </c>
      <c r="I45" s="17"/>
    </row>
    <row r="46" customFormat="false" ht="15" hidden="false" customHeight="false" outlineLevel="0" collapsed="false">
      <c r="A46" s="19"/>
      <c r="B46" s="17"/>
      <c r="C46" s="17"/>
      <c r="D46" s="17"/>
      <c r="E46" s="18"/>
      <c r="F46" s="22"/>
      <c r="G46" s="22"/>
      <c r="H46" s="23" t="str">
        <f aca="false">IF(F46="","",MAX(0,F46-N(G46)))</f>
        <v/>
      </c>
      <c r="I46" s="17"/>
    </row>
    <row r="47" customFormat="false" ht="15" hidden="false" customHeight="false" outlineLevel="0" collapsed="false">
      <c r="A47" s="19"/>
      <c r="B47" s="17"/>
      <c r="C47" s="17"/>
      <c r="D47" s="17"/>
      <c r="E47" s="18"/>
      <c r="F47" s="22"/>
      <c r="G47" s="22"/>
      <c r="H47" s="23" t="str">
        <f aca="false">IF(F47="","",MAX(0,F47-N(G47)))</f>
        <v/>
      </c>
      <c r="I47" s="17"/>
    </row>
    <row r="48" customFormat="false" ht="15" hidden="false" customHeight="false" outlineLevel="0" collapsed="false">
      <c r="A48" s="19"/>
      <c r="B48" s="17"/>
      <c r="C48" s="17"/>
      <c r="D48" s="17"/>
      <c r="E48" s="18"/>
      <c r="F48" s="22"/>
      <c r="G48" s="22"/>
      <c r="H48" s="23" t="str">
        <f aca="false">IF(F48="","",MAX(0,F48-N(G48)))</f>
        <v/>
      </c>
      <c r="I48" s="17"/>
    </row>
    <row r="49" customFormat="false" ht="15" hidden="false" customHeight="false" outlineLevel="0" collapsed="false">
      <c r="A49" s="19"/>
      <c r="B49" s="17"/>
      <c r="C49" s="17"/>
      <c r="D49" s="17"/>
      <c r="E49" s="18"/>
      <c r="F49" s="22"/>
      <c r="G49" s="22"/>
      <c r="H49" s="23" t="str">
        <f aca="false">IF(F49="","",MAX(0,F49-N(G49)))</f>
        <v/>
      </c>
      <c r="I49" s="17"/>
    </row>
    <row r="50" customFormat="false" ht="15" hidden="false" customHeight="false" outlineLevel="0" collapsed="false">
      <c r="A50" s="19"/>
      <c r="B50" s="17"/>
      <c r="C50" s="17"/>
      <c r="D50" s="17"/>
      <c r="E50" s="18"/>
      <c r="F50" s="22"/>
      <c r="G50" s="22"/>
      <c r="H50" s="23" t="str">
        <f aca="false">IF(F50="","",MAX(0,F50-N(G50)))</f>
        <v/>
      </c>
      <c r="I50" s="17"/>
    </row>
    <row r="51" customFormat="false" ht="15" hidden="false" customHeight="false" outlineLevel="0" collapsed="false">
      <c r="A51" s="19"/>
      <c r="B51" s="17"/>
      <c r="C51" s="17"/>
      <c r="D51" s="17"/>
      <c r="E51" s="18"/>
      <c r="F51" s="22"/>
      <c r="G51" s="22"/>
      <c r="H51" s="23" t="str">
        <f aca="false">IF(F51="","",MAX(0,F51-N(G51)))</f>
        <v/>
      </c>
      <c r="I51" s="17"/>
    </row>
    <row r="52" customFormat="false" ht="15" hidden="false" customHeight="false" outlineLevel="0" collapsed="false">
      <c r="A52" s="19"/>
      <c r="B52" s="17"/>
      <c r="C52" s="17"/>
      <c r="D52" s="17"/>
      <c r="E52" s="18"/>
      <c r="F52" s="22"/>
      <c r="G52" s="22"/>
      <c r="H52" s="23" t="str">
        <f aca="false">IF(F52="","",MAX(0,F52-N(G52)))</f>
        <v/>
      </c>
      <c r="I52" s="17"/>
    </row>
    <row r="53" customFormat="false" ht="15" hidden="false" customHeight="false" outlineLevel="0" collapsed="false">
      <c r="A53" s="19"/>
      <c r="B53" s="17"/>
      <c r="C53" s="17"/>
      <c r="D53" s="17"/>
      <c r="E53" s="18"/>
      <c r="F53" s="22"/>
      <c r="G53" s="22"/>
      <c r="H53" s="23" t="str">
        <f aca="false">IF(F53="","",MAX(0,F53-N(G53)))</f>
        <v/>
      </c>
      <c r="I53" s="17"/>
    </row>
    <row r="54" customFormat="false" ht="15" hidden="false" customHeight="false" outlineLevel="0" collapsed="false">
      <c r="A54" s="19"/>
      <c r="B54" s="17"/>
      <c r="C54" s="17"/>
      <c r="D54" s="17"/>
      <c r="E54" s="18"/>
      <c r="F54" s="22"/>
      <c r="G54" s="22"/>
      <c r="H54" s="23" t="str">
        <f aca="false">IF(F54="","",MAX(0,F54-N(G54)))</f>
        <v/>
      </c>
      <c r="I54" s="17"/>
    </row>
    <row r="55" customFormat="false" ht="15" hidden="false" customHeight="false" outlineLevel="0" collapsed="false">
      <c r="A55" s="19"/>
      <c r="B55" s="17"/>
      <c r="C55" s="17"/>
      <c r="D55" s="17"/>
      <c r="E55" s="18"/>
      <c r="F55" s="22"/>
      <c r="G55" s="22"/>
      <c r="H55" s="23" t="str">
        <f aca="false">IF(F55="","",MAX(0,F55-N(G55)))</f>
        <v/>
      </c>
      <c r="I55" s="17"/>
    </row>
    <row r="56" customFormat="false" ht="15" hidden="false" customHeight="false" outlineLevel="0" collapsed="false">
      <c r="A56" s="19"/>
      <c r="B56" s="17"/>
      <c r="C56" s="17"/>
      <c r="D56" s="17"/>
      <c r="E56" s="18"/>
      <c r="F56" s="22"/>
      <c r="G56" s="22"/>
      <c r="H56" s="23" t="str">
        <f aca="false">IF(F56="","",MAX(0,F56-N(G56)))</f>
        <v/>
      </c>
      <c r="I56" s="17"/>
    </row>
    <row r="57" customFormat="false" ht="15" hidden="false" customHeight="false" outlineLevel="0" collapsed="false">
      <c r="A57" s="19"/>
      <c r="B57" s="17"/>
      <c r="C57" s="17"/>
      <c r="D57" s="17"/>
      <c r="E57" s="18"/>
      <c r="F57" s="22"/>
      <c r="G57" s="22"/>
      <c r="H57" s="23" t="str">
        <f aca="false">IF(F57="","",MAX(0,F57-N(G57)))</f>
        <v/>
      </c>
      <c r="I57" s="17"/>
    </row>
    <row r="58" customFormat="false" ht="15" hidden="false" customHeight="false" outlineLevel="0" collapsed="false">
      <c r="A58" s="19"/>
      <c r="B58" s="17"/>
      <c r="C58" s="17"/>
      <c r="D58" s="17"/>
      <c r="E58" s="18"/>
      <c r="F58" s="22"/>
      <c r="G58" s="22"/>
      <c r="H58" s="23" t="str">
        <f aca="false">IF(F58="","",MAX(0,F58-N(G58)))</f>
        <v/>
      </c>
      <c r="I58" s="17"/>
    </row>
    <row r="59" customFormat="false" ht="15" hidden="false" customHeight="false" outlineLevel="0" collapsed="false">
      <c r="A59" s="19"/>
      <c r="B59" s="17"/>
      <c r="C59" s="17"/>
      <c r="D59" s="17"/>
      <c r="E59" s="18"/>
      <c r="F59" s="22"/>
      <c r="G59" s="22"/>
      <c r="H59" s="23" t="str">
        <f aca="false">IF(F59="","",MAX(0,F59-N(G59)))</f>
        <v/>
      </c>
      <c r="I59" s="17"/>
    </row>
    <row r="60" customFormat="false" ht="15" hidden="false" customHeight="false" outlineLevel="0" collapsed="false">
      <c r="A60" s="19"/>
      <c r="B60" s="17"/>
      <c r="C60" s="17"/>
      <c r="D60" s="17"/>
      <c r="E60" s="18"/>
      <c r="F60" s="22"/>
      <c r="G60" s="22"/>
      <c r="H60" s="23" t="str">
        <f aca="false">IF(F60="","",MAX(0,F60-N(G60)))</f>
        <v/>
      </c>
      <c r="I60" s="17"/>
    </row>
    <row r="61" customFormat="false" ht="15" hidden="false" customHeight="false" outlineLevel="0" collapsed="false">
      <c r="A61" s="19"/>
      <c r="B61" s="17"/>
      <c r="C61" s="17"/>
      <c r="D61" s="17"/>
      <c r="E61" s="18"/>
      <c r="F61" s="22"/>
      <c r="G61" s="22"/>
      <c r="H61" s="23" t="str">
        <f aca="false">IF(F61="","",MAX(0,F61-N(G61)))</f>
        <v/>
      </c>
      <c r="I61" s="17"/>
    </row>
    <row r="62" customFormat="false" ht="15" hidden="false" customHeight="false" outlineLevel="0" collapsed="false">
      <c r="A62" s="19"/>
      <c r="B62" s="17"/>
      <c r="C62" s="17"/>
      <c r="D62" s="17"/>
      <c r="E62" s="18"/>
      <c r="F62" s="22"/>
      <c r="G62" s="22"/>
      <c r="H62" s="23" t="str">
        <f aca="false">IF(F62="","",MAX(0,F62-N(G62)))</f>
        <v/>
      </c>
      <c r="I62" s="17"/>
    </row>
    <row r="63" customFormat="false" ht="15" hidden="false" customHeight="false" outlineLevel="0" collapsed="false">
      <c r="A63" s="19"/>
      <c r="B63" s="17"/>
      <c r="C63" s="17"/>
      <c r="D63" s="17"/>
      <c r="E63" s="18"/>
      <c r="F63" s="22"/>
      <c r="G63" s="22"/>
      <c r="H63" s="23" t="str">
        <f aca="false">IF(F63="","",MAX(0,F63-N(G63)))</f>
        <v/>
      </c>
      <c r="I63" s="17"/>
    </row>
    <row r="64" customFormat="false" ht="15" hidden="false" customHeight="false" outlineLevel="0" collapsed="false">
      <c r="A64" s="19"/>
      <c r="B64" s="17"/>
      <c r="C64" s="17"/>
      <c r="D64" s="17"/>
      <c r="E64" s="18"/>
      <c r="F64" s="22"/>
      <c r="G64" s="22"/>
      <c r="H64" s="23" t="str">
        <f aca="false">IF(F64="","",MAX(0,F64-N(G64)))</f>
        <v/>
      </c>
      <c r="I64" s="17"/>
    </row>
    <row r="65" customFormat="false" ht="15" hidden="false" customHeight="false" outlineLevel="0" collapsed="false">
      <c r="A65" s="19"/>
      <c r="B65" s="17"/>
      <c r="C65" s="17"/>
      <c r="D65" s="17"/>
      <c r="E65" s="18"/>
      <c r="F65" s="22"/>
      <c r="G65" s="22"/>
      <c r="H65" s="23" t="str">
        <f aca="false">IF(F65="","",MAX(0,F65-N(G65)))</f>
        <v/>
      </c>
      <c r="I65" s="17"/>
    </row>
    <row r="66" customFormat="false" ht="15" hidden="false" customHeight="false" outlineLevel="0" collapsed="false">
      <c r="A66" s="19"/>
      <c r="B66" s="17"/>
      <c r="C66" s="17"/>
      <c r="D66" s="17"/>
      <c r="E66" s="18"/>
      <c r="F66" s="22"/>
      <c r="G66" s="22"/>
      <c r="H66" s="23" t="str">
        <f aca="false">IF(F66="","",MAX(0,F66-N(G66)))</f>
        <v/>
      </c>
      <c r="I66" s="17"/>
    </row>
    <row r="67" customFormat="false" ht="15" hidden="false" customHeight="false" outlineLevel="0" collapsed="false">
      <c r="A67" s="19"/>
      <c r="B67" s="17"/>
      <c r="C67" s="17"/>
      <c r="D67" s="17"/>
      <c r="E67" s="18"/>
      <c r="F67" s="22"/>
      <c r="G67" s="22"/>
      <c r="H67" s="23" t="str">
        <f aca="false">IF(F67="","",MAX(0,F67-N(G67)))</f>
        <v/>
      </c>
      <c r="I67" s="17"/>
    </row>
    <row r="68" customFormat="false" ht="15" hidden="false" customHeight="false" outlineLevel="0" collapsed="false">
      <c r="A68" s="19"/>
      <c r="B68" s="17"/>
      <c r="C68" s="17"/>
      <c r="D68" s="17"/>
      <c r="E68" s="18"/>
      <c r="F68" s="22"/>
      <c r="G68" s="22"/>
      <c r="H68" s="23" t="str">
        <f aca="false">IF(F68="","",MAX(0,F68-N(G68)))</f>
        <v/>
      </c>
      <c r="I68" s="17"/>
    </row>
    <row r="69" customFormat="false" ht="15" hidden="false" customHeight="false" outlineLevel="0" collapsed="false">
      <c r="A69" s="19"/>
      <c r="B69" s="17"/>
      <c r="C69" s="17"/>
      <c r="D69" s="17"/>
      <c r="E69" s="18"/>
      <c r="F69" s="22"/>
      <c r="G69" s="22"/>
      <c r="H69" s="23" t="str">
        <f aca="false">IF(F69="","",MAX(0,F69-N(G69)))</f>
        <v/>
      </c>
      <c r="I69" s="17"/>
    </row>
    <row r="70" customFormat="false" ht="15" hidden="false" customHeight="false" outlineLevel="0" collapsed="false">
      <c r="A70" s="19"/>
      <c r="B70" s="17"/>
      <c r="C70" s="17"/>
      <c r="D70" s="17"/>
      <c r="E70" s="18"/>
      <c r="F70" s="22"/>
      <c r="G70" s="22"/>
      <c r="H70" s="23" t="str">
        <f aca="false">IF(F70="","",MAX(0,F70-N(G70)))</f>
        <v/>
      </c>
      <c r="I70" s="17"/>
    </row>
    <row r="71" customFormat="false" ht="15" hidden="false" customHeight="false" outlineLevel="0" collapsed="false">
      <c r="A71" s="19"/>
      <c r="B71" s="17"/>
      <c r="C71" s="17"/>
      <c r="D71" s="17"/>
      <c r="E71" s="18"/>
      <c r="F71" s="22"/>
      <c r="G71" s="22"/>
      <c r="H71" s="23" t="str">
        <f aca="false">IF(F71="","",MAX(0,F71-N(G71)))</f>
        <v/>
      </c>
      <c r="I71" s="17"/>
    </row>
    <row r="72" customFormat="false" ht="15" hidden="false" customHeight="false" outlineLevel="0" collapsed="false">
      <c r="A72" s="19"/>
      <c r="B72" s="17"/>
      <c r="C72" s="17"/>
      <c r="D72" s="17"/>
      <c r="E72" s="18"/>
      <c r="F72" s="22"/>
      <c r="G72" s="22"/>
      <c r="H72" s="23" t="str">
        <f aca="false">IF(F72="","",MAX(0,F72-N(G72)))</f>
        <v/>
      </c>
      <c r="I72" s="17"/>
    </row>
    <row r="73" customFormat="false" ht="15" hidden="false" customHeight="false" outlineLevel="0" collapsed="false">
      <c r="A73" s="19"/>
      <c r="B73" s="17"/>
      <c r="C73" s="17"/>
      <c r="D73" s="17"/>
      <c r="E73" s="18"/>
      <c r="F73" s="22"/>
      <c r="G73" s="22"/>
      <c r="H73" s="23" t="str">
        <f aca="false">IF(F73="","",MAX(0,F73-N(G73)))</f>
        <v/>
      </c>
      <c r="I73" s="17"/>
    </row>
    <row r="74" customFormat="false" ht="15" hidden="false" customHeight="false" outlineLevel="0" collapsed="false">
      <c r="A74" s="19"/>
      <c r="B74" s="17"/>
      <c r="C74" s="17"/>
      <c r="D74" s="17"/>
      <c r="E74" s="18"/>
      <c r="F74" s="22"/>
      <c r="G74" s="22"/>
      <c r="H74" s="23" t="str">
        <f aca="false">IF(F74="","",MAX(0,F74-N(G74)))</f>
        <v/>
      </c>
      <c r="I74" s="17"/>
    </row>
    <row r="75" customFormat="false" ht="15" hidden="false" customHeight="false" outlineLevel="0" collapsed="false">
      <c r="A75" s="19"/>
      <c r="B75" s="17"/>
      <c r="C75" s="17"/>
      <c r="D75" s="17"/>
      <c r="E75" s="18"/>
      <c r="F75" s="22"/>
      <c r="G75" s="22"/>
      <c r="H75" s="23" t="str">
        <f aca="false">IF(F75="","",MAX(0,F75-N(G75)))</f>
        <v/>
      </c>
      <c r="I75" s="17"/>
    </row>
    <row r="76" customFormat="false" ht="15" hidden="false" customHeight="false" outlineLevel="0" collapsed="false">
      <c r="A76" s="19"/>
      <c r="B76" s="17"/>
      <c r="C76" s="17"/>
      <c r="D76" s="17"/>
      <c r="E76" s="18"/>
      <c r="F76" s="22"/>
      <c r="G76" s="22"/>
      <c r="H76" s="23" t="str">
        <f aca="false">IF(F76="","",MAX(0,F76-N(G76)))</f>
        <v/>
      </c>
      <c r="I76" s="17"/>
    </row>
    <row r="77" customFormat="false" ht="15" hidden="false" customHeight="false" outlineLevel="0" collapsed="false">
      <c r="A77" s="19"/>
      <c r="B77" s="17"/>
      <c r="C77" s="17"/>
      <c r="D77" s="17"/>
      <c r="E77" s="18"/>
      <c r="F77" s="22"/>
      <c r="G77" s="22"/>
      <c r="H77" s="23" t="str">
        <f aca="false">IF(F77="","",MAX(0,F77-N(G77)))</f>
        <v/>
      </c>
      <c r="I77" s="17"/>
    </row>
    <row r="78" customFormat="false" ht="15" hidden="false" customHeight="false" outlineLevel="0" collapsed="false">
      <c r="A78" s="19"/>
      <c r="B78" s="17"/>
      <c r="C78" s="17"/>
      <c r="D78" s="17"/>
      <c r="E78" s="18"/>
      <c r="F78" s="22"/>
      <c r="G78" s="22"/>
      <c r="H78" s="23" t="str">
        <f aca="false">IF(F78="","",MAX(0,F78-N(G78)))</f>
        <v/>
      </c>
      <c r="I78" s="17"/>
    </row>
    <row r="79" customFormat="false" ht="15" hidden="false" customHeight="false" outlineLevel="0" collapsed="false">
      <c r="A79" s="19"/>
      <c r="B79" s="17"/>
      <c r="C79" s="17"/>
      <c r="D79" s="17"/>
      <c r="E79" s="18"/>
      <c r="F79" s="22"/>
      <c r="G79" s="22"/>
      <c r="H79" s="23" t="str">
        <f aca="false">IF(F79="","",MAX(0,F79-N(G79)))</f>
        <v/>
      </c>
      <c r="I79" s="17"/>
    </row>
    <row r="80" customFormat="false" ht="15" hidden="false" customHeight="false" outlineLevel="0" collapsed="false">
      <c r="A80" s="19"/>
      <c r="B80" s="17"/>
      <c r="C80" s="17"/>
      <c r="D80" s="17"/>
      <c r="E80" s="18"/>
      <c r="F80" s="22"/>
      <c r="G80" s="22"/>
      <c r="H80" s="23" t="str">
        <f aca="false">IF(F80="","",MAX(0,F80-N(G80)))</f>
        <v/>
      </c>
      <c r="I80" s="17"/>
    </row>
    <row r="81" customFormat="false" ht="15" hidden="false" customHeight="false" outlineLevel="0" collapsed="false">
      <c r="A81" s="19"/>
      <c r="B81" s="17"/>
      <c r="C81" s="17"/>
      <c r="D81" s="17"/>
      <c r="E81" s="18"/>
      <c r="F81" s="22"/>
      <c r="G81" s="22"/>
      <c r="H81" s="23" t="str">
        <f aca="false">IF(F81="","",MAX(0,F81-N(G81)))</f>
        <v/>
      </c>
      <c r="I81" s="17"/>
    </row>
    <row r="82" customFormat="false" ht="15" hidden="false" customHeight="false" outlineLevel="0" collapsed="false">
      <c r="A82" s="19"/>
      <c r="B82" s="17"/>
      <c r="C82" s="17"/>
      <c r="D82" s="17"/>
      <c r="E82" s="18"/>
      <c r="F82" s="22"/>
      <c r="G82" s="22"/>
      <c r="H82" s="23" t="str">
        <f aca="false">IF(F82="","",MAX(0,F82-N(G82)))</f>
        <v/>
      </c>
      <c r="I82" s="17"/>
    </row>
    <row r="83" customFormat="false" ht="15" hidden="false" customHeight="false" outlineLevel="0" collapsed="false">
      <c r="A83" s="19"/>
      <c r="B83" s="17"/>
      <c r="C83" s="17"/>
      <c r="D83" s="17"/>
      <c r="E83" s="18"/>
      <c r="F83" s="22"/>
      <c r="G83" s="22"/>
      <c r="H83" s="23" t="str">
        <f aca="false">IF(F83="","",MAX(0,F83-N(G83)))</f>
        <v/>
      </c>
      <c r="I83" s="17"/>
    </row>
    <row r="84" customFormat="false" ht="15" hidden="false" customHeight="false" outlineLevel="0" collapsed="false">
      <c r="A84" s="19"/>
      <c r="B84" s="17"/>
      <c r="C84" s="17"/>
      <c r="D84" s="17"/>
      <c r="E84" s="18"/>
      <c r="F84" s="22"/>
      <c r="G84" s="22"/>
      <c r="H84" s="23" t="str">
        <f aca="false">IF(F84="","",MAX(0,F84-N(G84)))</f>
        <v/>
      </c>
      <c r="I84" s="17"/>
    </row>
    <row r="85" customFormat="false" ht="15" hidden="false" customHeight="false" outlineLevel="0" collapsed="false">
      <c r="A85" s="19"/>
      <c r="B85" s="17"/>
      <c r="C85" s="17"/>
      <c r="D85" s="17"/>
      <c r="E85" s="18"/>
      <c r="F85" s="22"/>
      <c r="G85" s="22"/>
      <c r="H85" s="23" t="str">
        <f aca="false">IF(F85="","",MAX(0,F85-N(G85)))</f>
        <v/>
      </c>
      <c r="I85" s="17"/>
    </row>
    <row r="86" customFormat="false" ht="15" hidden="false" customHeight="false" outlineLevel="0" collapsed="false">
      <c r="A86" s="19"/>
      <c r="B86" s="17"/>
      <c r="C86" s="17"/>
      <c r="D86" s="17"/>
      <c r="E86" s="18"/>
      <c r="F86" s="22"/>
      <c r="G86" s="22"/>
      <c r="H86" s="23" t="str">
        <f aca="false">IF(F86="","",MAX(0,F86-N(G86)))</f>
        <v/>
      </c>
      <c r="I86" s="17"/>
    </row>
    <row r="87" customFormat="false" ht="15" hidden="false" customHeight="false" outlineLevel="0" collapsed="false">
      <c r="A87" s="19"/>
      <c r="B87" s="17"/>
      <c r="C87" s="17"/>
      <c r="D87" s="17"/>
      <c r="E87" s="18"/>
      <c r="F87" s="22"/>
      <c r="G87" s="22"/>
      <c r="H87" s="23" t="str">
        <f aca="false">IF(F87="","",MAX(0,F87-N(G87)))</f>
        <v/>
      </c>
      <c r="I87" s="17"/>
    </row>
    <row r="88" customFormat="false" ht="15" hidden="false" customHeight="false" outlineLevel="0" collapsed="false">
      <c r="A88" s="19"/>
      <c r="B88" s="17"/>
      <c r="C88" s="17"/>
      <c r="D88" s="17"/>
      <c r="E88" s="18"/>
      <c r="F88" s="22"/>
      <c r="G88" s="22"/>
      <c r="H88" s="23" t="str">
        <f aca="false">IF(F88="","",MAX(0,F88-N(G88)))</f>
        <v/>
      </c>
      <c r="I88" s="17"/>
    </row>
    <row r="89" customFormat="false" ht="15" hidden="false" customHeight="false" outlineLevel="0" collapsed="false">
      <c r="A89" s="19"/>
      <c r="B89" s="17"/>
      <c r="C89" s="17"/>
      <c r="D89" s="17"/>
      <c r="E89" s="18"/>
      <c r="F89" s="22"/>
      <c r="G89" s="22"/>
      <c r="H89" s="23" t="str">
        <f aca="false">IF(F89="","",MAX(0,F89-N(G89)))</f>
        <v/>
      </c>
      <c r="I89" s="17"/>
    </row>
    <row r="90" customFormat="false" ht="15" hidden="false" customHeight="false" outlineLevel="0" collapsed="false">
      <c r="A90" s="19"/>
      <c r="B90" s="17"/>
      <c r="C90" s="17"/>
      <c r="D90" s="17"/>
      <c r="E90" s="18"/>
      <c r="F90" s="22"/>
      <c r="G90" s="22"/>
      <c r="H90" s="23" t="str">
        <f aca="false">IF(F90="","",MAX(0,F90-N(G90)))</f>
        <v/>
      </c>
      <c r="I90" s="17"/>
    </row>
    <row r="91" customFormat="false" ht="15" hidden="false" customHeight="false" outlineLevel="0" collapsed="false">
      <c r="A91" s="19"/>
      <c r="B91" s="17"/>
      <c r="C91" s="17"/>
      <c r="D91" s="17"/>
      <c r="E91" s="18"/>
      <c r="F91" s="22"/>
      <c r="G91" s="22"/>
      <c r="H91" s="23" t="str">
        <f aca="false">IF(F91="","",MAX(0,F91-N(G91)))</f>
        <v/>
      </c>
      <c r="I91" s="17"/>
    </row>
    <row r="92" customFormat="false" ht="15" hidden="false" customHeight="false" outlineLevel="0" collapsed="false">
      <c r="A92" s="19"/>
      <c r="B92" s="17"/>
      <c r="C92" s="17"/>
      <c r="D92" s="17"/>
      <c r="E92" s="18"/>
      <c r="F92" s="22"/>
      <c r="G92" s="22"/>
      <c r="H92" s="23" t="str">
        <f aca="false">IF(F92="","",MAX(0,F92-N(G92)))</f>
        <v/>
      </c>
      <c r="I92" s="17"/>
    </row>
    <row r="93" customFormat="false" ht="15" hidden="false" customHeight="false" outlineLevel="0" collapsed="false">
      <c r="A93" s="19"/>
      <c r="B93" s="17"/>
      <c r="C93" s="17"/>
      <c r="D93" s="17"/>
      <c r="E93" s="18"/>
      <c r="F93" s="22"/>
      <c r="G93" s="22"/>
      <c r="H93" s="23" t="str">
        <f aca="false">IF(F93="","",MAX(0,F93-N(G93)))</f>
        <v/>
      </c>
      <c r="I93" s="17"/>
    </row>
    <row r="94" customFormat="false" ht="15" hidden="false" customHeight="false" outlineLevel="0" collapsed="false">
      <c r="A94" s="19"/>
      <c r="B94" s="17"/>
      <c r="C94" s="17"/>
      <c r="D94" s="17"/>
      <c r="E94" s="18"/>
      <c r="F94" s="22"/>
      <c r="G94" s="22"/>
      <c r="H94" s="23" t="str">
        <f aca="false">IF(F94="","",MAX(0,F94-N(G94)))</f>
        <v/>
      </c>
      <c r="I94" s="17"/>
    </row>
    <row r="95" customFormat="false" ht="15" hidden="false" customHeight="false" outlineLevel="0" collapsed="false">
      <c r="A95" s="19"/>
      <c r="B95" s="17"/>
      <c r="C95" s="17"/>
      <c r="D95" s="17"/>
      <c r="E95" s="18"/>
      <c r="F95" s="22"/>
      <c r="G95" s="22"/>
      <c r="H95" s="23" t="str">
        <f aca="false">IF(F95="","",MAX(0,F95-N(G95)))</f>
        <v/>
      </c>
      <c r="I95" s="17"/>
    </row>
    <row r="96" customFormat="false" ht="15" hidden="false" customHeight="false" outlineLevel="0" collapsed="false">
      <c r="A96" s="19"/>
      <c r="B96" s="17"/>
      <c r="C96" s="17"/>
      <c r="D96" s="17"/>
      <c r="E96" s="18"/>
      <c r="F96" s="22"/>
      <c r="G96" s="22"/>
      <c r="H96" s="23" t="str">
        <f aca="false">IF(F96="","",MAX(0,F96-N(G96)))</f>
        <v/>
      </c>
      <c r="I96" s="17"/>
    </row>
    <row r="97" customFormat="false" ht="15" hidden="false" customHeight="false" outlineLevel="0" collapsed="false">
      <c r="A97" s="19"/>
      <c r="B97" s="17"/>
      <c r="C97" s="17"/>
      <c r="D97" s="17"/>
      <c r="E97" s="18"/>
      <c r="F97" s="22"/>
      <c r="G97" s="22"/>
      <c r="H97" s="23" t="str">
        <f aca="false">IF(F97="","",MAX(0,F97-N(G97)))</f>
        <v/>
      </c>
      <c r="I97" s="17"/>
    </row>
    <row r="98" customFormat="false" ht="15" hidden="false" customHeight="false" outlineLevel="0" collapsed="false">
      <c r="A98" s="19"/>
      <c r="B98" s="17"/>
      <c r="C98" s="17"/>
      <c r="D98" s="17"/>
      <c r="E98" s="18"/>
      <c r="F98" s="22"/>
      <c r="G98" s="22"/>
      <c r="H98" s="23" t="str">
        <f aca="false">IF(F98="","",MAX(0,F98-N(G98)))</f>
        <v/>
      </c>
      <c r="I98" s="17"/>
    </row>
    <row r="99" customFormat="false" ht="15" hidden="false" customHeight="false" outlineLevel="0" collapsed="false">
      <c r="A99" s="19"/>
      <c r="B99" s="17"/>
      <c r="C99" s="17"/>
      <c r="D99" s="17"/>
      <c r="E99" s="18"/>
      <c r="F99" s="22"/>
      <c r="G99" s="22"/>
      <c r="H99" s="23" t="str">
        <f aca="false">IF(F99="","",MAX(0,F99-N(G99)))</f>
        <v/>
      </c>
      <c r="I99" s="17"/>
    </row>
    <row r="100" customFormat="false" ht="15" hidden="false" customHeight="false" outlineLevel="0" collapsed="false">
      <c r="A100" s="19"/>
      <c r="B100" s="17"/>
      <c r="C100" s="17"/>
      <c r="D100" s="17"/>
      <c r="E100" s="18"/>
      <c r="F100" s="22"/>
      <c r="G100" s="22"/>
      <c r="H100" s="23" t="str">
        <f aca="false">IF(F100="","",MAX(0,F100-N(G100)))</f>
        <v/>
      </c>
      <c r="I100" s="17"/>
    </row>
    <row r="101" customFormat="false" ht="15" hidden="false" customHeight="false" outlineLevel="0" collapsed="false">
      <c r="A101" s="19"/>
      <c r="B101" s="17"/>
      <c r="C101" s="17"/>
      <c r="D101" s="17"/>
      <c r="E101" s="18"/>
      <c r="F101" s="22"/>
      <c r="G101" s="22"/>
      <c r="H101" s="23" t="str">
        <f aca="false">IF(F101="","",MAX(0,F101-N(G101)))</f>
        <v/>
      </c>
      <c r="I101" s="17"/>
    </row>
    <row r="102" customFormat="false" ht="15" hidden="false" customHeight="false" outlineLevel="0" collapsed="false">
      <c r="A102" s="19"/>
      <c r="B102" s="17"/>
      <c r="C102" s="17"/>
      <c r="D102" s="17"/>
      <c r="E102" s="18"/>
      <c r="F102" s="22"/>
      <c r="G102" s="22"/>
      <c r="H102" s="23" t="str">
        <f aca="false">IF(F102="","",MAX(0,F102-N(G102)))</f>
        <v/>
      </c>
      <c r="I102" s="17"/>
    </row>
    <row r="103" customFormat="false" ht="15" hidden="false" customHeight="false" outlineLevel="0" collapsed="false">
      <c r="A103" s="19"/>
      <c r="B103" s="17"/>
      <c r="C103" s="17"/>
      <c r="D103" s="17"/>
      <c r="E103" s="18"/>
      <c r="F103" s="22"/>
      <c r="G103" s="22"/>
      <c r="H103" s="23" t="str">
        <f aca="false">IF(F103="","",MAX(0,F103-N(G103)))</f>
        <v/>
      </c>
      <c r="I103" s="17"/>
    </row>
    <row r="104" customFormat="false" ht="15" hidden="false" customHeight="false" outlineLevel="0" collapsed="false">
      <c r="A104" s="19"/>
      <c r="B104" s="17"/>
      <c r="C104" s="17"/>
      <c r="D104" s="17"/>
      <c r="E104" s="18"/>
      <c r="F104" s="22"/>
      <c r="G104" s="22"/>
      <c r="H104" s="23" t="str">
        <f aca="false">IF(F104="","",MAX(0,F104-N(G104)))</f>
        <v/>
      </c>
      <c r="I104" s="17"/>
    </row>
    <row r="105" customFormat="false" ht="15" hidden="false" customHeight="false" outlineLevel="0" collapsed="false">
      <c r="A105" s="19"/>
      <c r="B105" s="17"/>
      <c r="C105" s="17"/>
      <c r="D105" s="17"/>
      <c r="E105" s="18"/>
      <c r="F105" s="22"/>
      <c r="G105" s="22"/>
      <c r="H105" s="23" t="str">
        <f aca="false">IF(F105="","",MAX(0,F105-N(G105)))</f>
        <v/>
      </c>
      <c r="I105" s="17"/>
    </row>
    <row r="106" customFormat="false" ht="15" hidden="false" customHeight="false" outlineLevel="0" collapsed="false">
      <c r="A106" s="19"/>
      <c r="B106" s="17"/>
      <c r="C106" s="17"/>
      <c r="D106" s="17"/>
      <c r="E106" s="18"/>
      <c r="F106" s="22"/>
      <c r="G106" s="22"/>
      <c r="H106" s="23" t="str">
        <f aca="false">IF(F106="","",MAX(0,F106-N(G106)))</f>
        <v/>
      </c>
      <c r="I106" s="17"/>
    </row>
    <row r="107" customFormat="false" ht="15" hidden="false" customHeight="false" outlineLevel="0" collapsed="false">
      <c r="A107" s="19"/>
      <c r="B107" s="17"/>
      <c r="C107" s="17"/>
      <c r="D107" s="17"/>
      <c r="E107" s="18"/>
      <c r="F107" s="22"/>
      <c r="G107" s="22"/>
      <c r="H107" s="23" t="str">
        <f aca="false">IF(F107="","",MAX(0,F107-N(G107)))</f>
        <v/>
      </c>
      <c r="I107" s="17"/>
    </row>
    <row r="108" customFormat="false" ht="15" hidden="false" customHeight="false" outlineLevel="0" collapsed="false">
      <c r="A108" s="19"/>
      <c r="B108" s="17"/>
      <c r="C108" s="17"/>
      <c r="D108" s="17"/>
      <c r="E108" s="18"/>
      <c r="F108" s="22"/>
      <c r="G108" s="22"/>
      <c r="H108" s="23" t="str">
        <f aca="false">IF(F108="","",MAX(0,F108-N(G108)))</f>
        <v/>
      </c>
      <c r="I108" s="17"/>
    </row>
    <row r="109" customFormat="false" ht="15" hidden="false" customHeight="false" outlineLevel="0" collapsed="false">
      <c r="A109" s="19"/>
      <c r="B109" s="17"/>
      <c r="C109" s="17"/>
      <c r="D109" s="17"/>
      <c r="E109" s="18"/>
      <c r="F109" s="22"/>
      <c r="G109" s="22"/>
      <c r="H109" s="23" t="str">
        <f aca="false">IF(F109="","",MAX(0,F109-N(G109)))</f>
        <v/>
      </c>
      <c r="I109" s="17"/>
    </row>
    <row r="110" customFormat="false" ht="15" hidden="false" customHeight="false" outlineLevel="0" collapsed="false">
      <c r="A110" s="19"/>
      <c r="B110" s="17"/>
      <c r="C110" s="17"/>
      <c r="D110" s="17"/>
      <c r="E110" s="18"/>
      <c r="F110" s="22"/>
      <c r="G110" s="22"/>
      <c r="H110" s="23" t="str">
        <f aca="false">IF(F110="","",MAX(0,F110-N(G110)))</f>
        <v/>
      </c>
      <c r="I110" s="17"/>
    </row>
    <row r="111" customFormat="false" ht="15" hidden="false" customHeight="false" outlineLevel="0" collapsed="false">
      <c r="A111" s="19"/>
      <c r="B111" s="17"/>
      <c r="C111" s="17"/>
      <c r="D111" s="17"/>
      <c r="E111" s="18"/>
      <c r="F111" s="22"/>
      <c r="G111" s="22"/>
      <c r="H111" s="23" t="str">
        <f aca="false">IF(F111="","",MAX(0,F111-N(G111)))</f>
        <v/>
      </c>
      <c r="I111" s="17"/>
    </row>
    <row r="112" customFormat="false" ht="15" hidden="false" customHeight="false" outlineLevel="0" collapsed="false">
      <c r="A112" s="19"/>
      <c r="B112" s="17"/>
      <c r="C112" s="17"/>
      <c r="D112" s="17"/>
      <c r="E112" s="18"/>
      <c r="F112" s="22"/>
      <c r="G112" s="22"/>
      <c r="H112" s="23" t="str">
        <f aca="false">IF(F112="","",MAX(0,F112-N(G112)))</f>
        <v/>
      </c>
      <c r="I112" s="17"/>
    </row>
    <row r="113" customFormat="false" ht="15" hidden="false" customHeight="false" outlineLevel="0" collapsed="false">
      <c r="A113" s="19"/>
      <c r="B113" s="17"/>
      <c r="C113" s="17"/>
      <c r="D113" s="17"/>
      <c r="E113" s="18"/>
      <c r="F113" s="22"/>
      <c r="G113" s="22"/>
      <c r="H113" s="23" t="str">
        <f aca="false">IF(F113="","",MAX(0,F113-N(G113)))</f>
        <v/>
      </c>
      <c r="I113" s="17"/>
    </row>
    <row r="114" customFormat="false" ht="15" hidden="false" customHeight="false" outlineLevel="0" collapsed="false">
      <c r="A114" s="19"/>
      <c r="B114" s="17"/>
      <c r="C114" s="17"/>
      <c r="D114" s="17"/>
      <c r="E114" s="18"/>
      <c r="F114" s="22"/>
      <c r="G114" s="22"/>
      <c r="H114" s="23" t="str">
        <f aca="false">IF(F114="","",MAX(0,F114-N(G114)))</f>
        <v/>
      </c>
      <c r="I114" s="17"/>
    </row>
    <row r="115" customFormat="false" ht="15" hidden="false" customHeight="false" outlineLevel="0" collapsed="false">
      <c r="A115" s="19"/>
      <c r="B115" s="17"/>
      <c r="C115" s="17"/>
      <c r="D115" s="17"/>
      <c r="E115" s="18"/>
      <c r="F115" s="22"/>
      <c r="G115" s="22"/>
      <c r="H115" s="23" t="str">
        <f aca="false">IF(F115="","",MAX(0,F115-N(G115)))</f>
        <v/>
      </c>
      <c r="I115" s="17"/>
    </row>
    <row r="116" customFormat="false" ht="15" hidden="false" customHeight="false" outlineLevel="0" collapsed="false">
      <c r="A116" s="19"/>
      <c r="B116" s="17"/>
      <c r="C116" s="17"/>
      <c r="D116" s="17"/>
      <c r="E116" s="18"/>
      <c r="F116" s="22"/>
      <c r="G116" s="22"/>
      <c r="H116" s="23" t="str">
        <f aca="false">IF(F116="","",MAX(0,F116-N(G116)))</f>
        <v/>
      </c>
      <c r="I116" s="17"/>
    </row>
    <row r="117" customFormat="false" ht="15" hidden="false" customHeight="false" outlineLevel="0" collapsed="false">
      <c r="A117" s="19"/>
      <c r="B117" s="17"/>
      <c r="C117" s="17"/>
      <c r="D117" s="17"/>
      <c r="E117" s="18"/>
      <c r="F117" s="22"/>
      <c r="G117" s="22"/>
      <c r="H117" s="23" t="str">
        <f aca="false">IF(F117="","",MAX(0,F117-N(G117)))</f>
        <v/>
      </c>
      <c r="I117" s="17"/>
    </row>
    <row r="118" customFormat="false" ht="15" hidden="false" customHeight="false" outlineLevel="0" collapsed="false">
      <c r="A118" s="19"/>
      <c r="B118" s="17"/>
      <c r="C118" s="17"/>
      <c r="D118" s="17"/>
      <c r="E118" s="18"/>
      <c r="F118" s="22"/>
      <c r="G118" s="22"/>
      <c r="H118" s="23" t="str">
        <f aca="false">IF(F118="","",MAX(0,F118-N(G118)))</f>
        <v/>
      </c>
      <c r="I118" s="17"/>
    </row>
    <row r="119" customFormat="false" ht="15" hidden="false" customHeight="false" outlineLevel="0" collapsed="false">
      <c r="A119" s="19"/>
      <c r="B119" s="17"/>
      <c r="C119" s="17"/>
      <c r="D119" s="17"/>
      <c r="E119" s="18"/>
      <c r="F119" s="22"/>
      <c r="G119" s="22"/>
      <c r="H119" s="23" t="str">
        <f aca="false">IF(F119="","",MAX(0,F119-N(G119)))</f>
        <v/>
      </c>
      <c r="I119" s="17"/>
    </row>
    <row r="120" customFormat="false" ht="15" hidden="false" customHeight="false" outlineLevel="0" collapsed="false">
      <c r="A120" s="19"/>
      <c r="B120" s="17"/>
      <c r="C120" s="17"/>
      <c r="D120" s="17"/>
      <c r="E120" s="18"/>
      <c r="F120" s="22"/>
      <c r="G120" s="22"/>
      <c r="H120" s="23" t="str">
        <f aca="false">IF(F120="","",MAX(0,F120-N(G120)))</f>
        <v/>
      </c>
      <c r="I120" s="17"/>
    </row>
    <row r="121" customFormat="false" ht="15" hidden="false" customHeight="false" outlineLevel="0" collapsed="false">
      <c r="A121" s="19"/>
      <c r="B121" s="17"/>
      <c r="C121" s="17"/>
      <c r="D121" s="17"/>
      <c r="E121" s="18"/>
      <c r="F121" s="22"/>
      <c r="G121" s="22"/>
      <c r="H121" s="23" t="str">
        <f aca="false">IF(F121="","",MAX(0,F121-N(G121)))</f>
        <v/>
      </c>
      <c r="I121" s="17"/>
    </row>
    <row r="122" customFormat="false" ht="15" hidden="false" customHeight="false" outlineLevel="0" collapsed="false">
      <c r="A122" s="19"/>
      <c r="B122" s="17"/>
      <c r="C122" s="17"/>
      <c r="D122" s="17"/>
      <c r="E122" s="18"/>
      <c r="F122" s="22"/>
      <c r="G122" s="22"/>
      <c r="H122" s="23" t="str">
        <f aca="false">IF(F122="","",MAX(0,F122-N(G122)))</f>
        <v/>
      </c>
      <c r="I122" s="17"/>
    </row>
    <row r="123" customFormat="false" ht="15" hidden="false" customHeight="false" outlineLevel="0" collapsed="false">
      <c r="A123" s="19"/>
      <c r="B123" s="17"/>
      <c r="C123" s="17"/>
      <c r="D123" s="17"/>
      <c r="E123" s="18"/>
      <c r="F123" s="22"/>
      <c r="G123" s="22"/>
      <c r="H123" s="23" t="str">
        <f aca="false">IF(F123="","",MAX(0,F123-N(G123)))</f>
        <v/>
      </c>
      <c r="I123" s="17"/>
    </row>
    <row r="124" customFormat="false" ht="15" hidden="false" customHeight="false" outlineLevel="0" collapsed="false">
      <c r="A124" s="19"/>
      <c r="B124" s="17"/>
      <c r="C124" s="17"/>
      <c r="D124" s="17"/>
      <c r="E124" s="18"/>
      <c r="F124" s="22"/>
      <c r="G124" s="22"/>
      <c r="H124" s="23" t="str">
        <f aca="false">IF(F124="","",MAX(0,F124-N(G124)))</f>
        <v/>
      </c>
      <c r="I124" s="17"/>
    </row>
    <row r="125" customFormat="false" ht="15" hidden="false" customHeight="false" outlineLevel="0" collapsed="false">
      <c r="A125" s="19"/>
      <c r="B125" s="17"/>
      <c r="C125" s="17"/>
      <c r="D125" s="17"/>
      <c r="E125" s="18"/>
      <c r="F125" s="22"/>
      <c r="G125" s="22"/>
      <c r="H125" s="23" t="str">
        <f aca="false">IF(F125="","",MAX(0,F125-N(G125)))</f>
        <v/>
      </c>
      <c r="I125" s="17"/>
    </row>
    <row r="126" customFormat="false" ht="15" hidden="false" customHeight="false" outlineLevel="0" collapsed="false">
      <c r="A126" s="19"/>
      <c r="B126" s="17"/>
      <c r="C126" s="17"/>
      <c r="D126" s="17"/>
      <c r="E126" s="18"/>
      <c r="F126" s="22"/>
      <c r="G126" s="22"/>
      <c r="H126" s="23" t="str">
        <f aca="false">IF(F126="","",MAX(0,F126-N(G126)))</f>
        <v/>
      </c>
      <c r="I126" s="17"/>
    </row>
    <row r="127" customFormat="false" ht="15" hidden="false" customHeight="false" outlineLevel="0" collapsed="false">
      <c r="A127" s="19"/>
      <c r="B127" s="17"/>
      <c r="C127" s="17"/>
      <c r="D127" s="17"/>
      <c r="E127" s="18"/>
      <c r="F127" s="22"/>
      <c r="G127" s="22"/>
      <c r="H127" s="23" t="str">
        <f aca="false">IF(F127="","",MAX(0,F127-N(G127)))</f>
        <v/>
      </c>
      <c r="I127" s="17"/>
    </row>
    <row r="128" customFormat="false" ht="15" hidden="false" customHeight="false" outlineLevel="0" collapsed="false">
      <c r="A128" s="19"/>
      <c r="B128" s="17"/>
      <c r="C128" s="17"/>
      <c r="D128" s="17"/>
      <c r="E128" s="18"/>
      <c r="F128" s="22"/>
      <c r="G128" s="22"/>
      <c r="H128" s="23" t="str">
        <f aca="false">IF(F128="","",MAX(0,F128-N(G128)))</f>
        <v/>
      </c>
      <c r="I128" s="17"/>
    </row>
    <row r="129" customFormat="false" ht="15" hidden="false" customHeight="false" outlineLevel="0" collapsed="false">
      <c r="A129" s="19"/>
      <c r="B129" s="17"/>
      <c r="C129" s="17"/>
      <c r="D129" s="17"/>
      <c r="E129" s="18"/>
      <c r="F129" s="22"/>
      <c r="G129" s="22"/>
      <c r="H129" s="23" t="str">
        <f aca="false">IF(F129="","",MAX(0,F129-N(G129)))</f>
        <v/>
      </c>
      <c r="I129" s="17"/>
    </row>
    <row r="130" customFormat="false" ht="15" hidden="false" customHeight="false" outlineLevel="0" collapsed="false">
      <c r="A130" s="19"/>
      <c r="B130" s="17"/>
      <c r="C130" s="17"/>
      <c r="D130" s="17"/>
      <c r="E130" s="18"/>
      <c r="F130" s="22"/>
      <c r="G130" s="22"/>
      <c r="H130" s="23" t="str">
        <f aca="false">IF(F130="","",MAX(0,F130-N(G130)))</f>
        <v/>
      </c>
      <c r="I130" s="17"/>
    </row>
    <row r="131" customFormat="false" ht="15" hidden="false" customHeight="false" outlineLevel="0" collapsed="false">
      <c r="A131" s="19"/>
      <c r="B131" s="17"/>
      <c r="C131" s="17"/>
      <c r="D131" s="17"/>
      <c r="E131" s="18"/>
      <c r="F131" s="22"/>
      <c r="G131" s="22"/>
      <c r="H131" s="23" t="str">
        <f aca="false">IF(F131="","",MAX(0,F131-N(G131)))</f>
        <v/>
      </c>
      <c r="I131" s="17"/>
    </row>
    <row r="132" customFormat="false" ht="15" hidden="false" customHeight="false" outlineLevel="0" collapsed="false">
      <c r="A132" s="19"/>
      <c r="B132" s="17"/>
      <c r="C132" s="17"/>
      <c r="D132" s="17"/>
      <c r="E132" s="18"/>
      <c r="F132" s="22"/>
      <c r="G132" s="22"/>
      <c r="H132" s="23" t="str">
        <f aca="false">IF(F132="","",MAX(0,F132-N(G132)))</f>
        <v/>
      </c>
      <c r="I132" s="17"/>
    </row>
    <row r="133" customFormat="false" ht="15" hidden="false" customHeight="false" outlineLevel="0" collapsed="false">
      <c r="A133" s="19"/>
      <c r="B133" s="17"/>
      <c r="C133" s="17"/>
      <c r="D133" s="17"/>
      <c r="E133" s="18"/>
      <c r="F133" s="22"/>
      <c r="G133" s="22"/>
      <c r="H133" s="23" t="str">
        <f aca="false">IF(F133="","",MAX(0,F133-N(G133)))</f>
        <v/>
      </c>
      <c r="I133" s="17"/>
    </row>
    <row r="134" customFormat="false" ht="15" hidden="false" customHeight="false" outlineLevel="0" collapsed="false">
      <c r="A134" s="19"/>
      <c r="B134" s="17"/>
      <c r="C134" s="17"/>
      <c r="D134" s="17"/>
      <c r="E134" s="18"/>
      <c r="F134" s="22"/>
      <c r="G134" s="22"/>
      <c r="H134" s="23" t="str">
        <f aca="false">IF(F134="","",MAX(0,F134-N(G134)))</f>
        <v/>
      </c>
      <c r="I134" s="17"/>
    </row>
    <row r="135" customFormat="false" ht="15" hidden="false" customHeight="false" outlineLevel="0" collapsed="false">
      <c r="A135" s="19"/>
      <c r="B135" s="17"/>
      <c r="C135" s="17"/>
      <c r="D135" s="17"/>
      <c r="E135" s="18"/>
      <c r="F135" s="22"/>
      <c r="G135" s="22"/>
      <c r="H135" s="23" t="str">
        <f aca="false">IF(F135="","",MAX(0,F135-N(G135)))</f>
        <v/>
      </c>
      <c r="I135" s="17"/>
    </row>
    <row r="136" customFormat="false" ht="15" hidden="false" customHeight="false" outlineLevel="0" collapsed="false">
      <c r="A136" s="19"/>
      <c r="B136" s="17"/>
      <c r="C136" s="17"/>
      <c r="D136" s="17"/>
      <c r="E136" s="18"/>
      <c r="F136" s="22"/>
      <c r="G136" s="22"/>
      <c r="H136" s="23" t="str">
        <f aca="false">IF(F136="","",MAX(0,F136-N(G136)))</f>
        <v/>
      </c>
      <c r="I136" s="17"/>
    </row>
    <row r="137" customFormat="false" ht="15" hidden="false" customHeight="false" outlineLevel="0" collapsed="false">
      <c r="A137" s="19"/>
      <c r="B137" s="17"/>
      <c r="C137" s="17"/>
      <c r="D137" s="17"/>
      <c r="E137" s="18"/>
      <c r="F137" s="22"/>
      <c r="G137" s="22"/>
      <c r="H137" s="23" t="str">
        <f aca="false">IF(F137="","",MAX(0,F137-N(G137)))</f>
        <v/>
      </c>
      <c r="I137" s="17"/>
    </row>
    <row r="138" customFormat="false" ht="15" hidden="false" customHeight="false" outlineLevel="0" collapsed="false">
      <c r="A138" s="19"/>
      <c r="B138" s="17"/>
      <c r="C138" s="17"/>
      <c r="D138" s="17"/>
      <c r="E138" s="18"/>
      <c r="F138" s="22"/>
      <c r="G138" s="22"/>
      <c r="H138" s="23" t="str">
        <f aca="false">IF(F138="","",MAX(0,F138-N(G138)))</f>
        <v/>
      </c>
      <c r="I138" s="17"/>
    </row>
    <row r="139" customFormat="false" ht="15" hidden="false" customHeight="false" outlineLevel="0" collapsed="false">
      <c r="A139" s="19"/>
      <c r="B139" s="17"/>
      <c r="C139" s="17"/>
      <c r="D139" s="17"/>
      <c r="E139" s="18"/>
      <c r="F139" s="22"/>
      <c r="G139" s="22"/>
      <c r="H139" s="23" t="str">
        <f aca="false">IF(F139="","",MAX(0,F139-N(G139)))</f>
        <v/>
      </c>
      <c r="I139" s="17"/>
    </row>
    <row r="140" customFormat="false" ht="15" hidden="false" customHeight="false" outlineLevel="0" collapsed="false">
      <c r="A140" s="19"/>
      <c r="B140" s="17"/>
      <c r="C140" s="17"/>
      <c r="D140" s="17"/>
      <c r="E140" s="18"/>
      <c r="F140" s="22"/>
      <c r="G140" s="22"/>
      <c r="H140" s="23" t="str">
        <f aca="false">IF(F140="","",MAX(0,F140-N(G140)))</f>
        <v/>
      </c>
      <c r="I140" s="17"/>
    </row>
    <row r="141" customFormat="false" ht="15" hidden="false" customHeight="false" outlineLevel="0" collapsed="false">
      <c r="A141" s="19"/>
      <c r="B141" s="17"/>
      <c r="C141" s="17"/>
      <c r="D141" s="17"/>
      <c r="E141" s="18"/>
      <c r="F141" s="22"/>
      <c r="G141" s="22"/>
      <c r="H141" s="23" t="str">
        <f aca="false">IF(F141="","",MAX(0,F141-N(G141)))</f>
        <v/>
      </c>
      <c r="I141" s="17"/>
    </row>
    <row r="142" customFormat="false" ht="15" hidden="false" customHeight="false" outlineLevel="0" collapsed="false">
      <c r="A142" s="19"/>
      <c r="B142" s="17"/>
      <c r="C142" s="17"/>
      <c r="D142" s="17"/>
      <c r="E142" s="18"/>
      <c r="F142" s="22"/>
      <c r="G142" s="22"/>
      <c r="H142" s="23" t="str">
        <f aca="false">IF(F142="","",MAX(0,F142-N(G142)))</f>
        <v/>
      </c>
      <c r="I142" s="17"/>
    </row>
    <row r="143" customFormat="false" ht="15" hidden="false" customHeight="false" outlineLevel="0" collapsed="false">
      <c r="A143" s="19"/>
      <c r="B143" s="17"/>
      <c r="C143" s="17"/>
      <c r="D143" s="17"/>
      <c r="E143" s="18"/>
      <c r="F143" s="22"/>
      <c r="G143" s="22"/>
      <c r="H143" s="23" t="str">
        <f aca="false">IF(F143="","",MAX(0,F143-N(G143)))</f>
        <v/>
      </c>
      <c r="I143" s="17"/>
    </row>
    <row r="144" customFormat="false" ht="15" hidden="false" customHeight="false" outlineLevel="0" collapsed="false">
      <c r="A144" s="19"/>
      <c r="B144" s="17"/>
      <c r="C144" s="17"/>
      <c r="D144" s="17"/>
      <c r="E144" s="18"/>
      <c r="F144" s="22"/>
      <c r="G144" s="22"/>
      <c r="H144" s="23" t="str">
        <f aca="false">IF(F144="","",MAX(0,F144-N(G144)))</f>
        <v/>
      </c>
      <c r="I144" s="17"/>
    </row>
    <row r="145" customFormat="false" ht="15" hidden="false" customHeight="false" outlineLevel="0" collapsed="false">
      <c r="A145" s="19"/>
      <c r="B145" s="17"/>
      <c r="C145" s="17"/>
      <c r="D145" s="17"/>
      <c r="E145" s="18"/>
      <c r="F145" s="22"/>
      <c r="G145" s="22"/>
      <c r="H145" s="23" t="str">
        <f aca="false">IF(F145="","",MAX(0,F145-N(G145)))</f>
        <v/>
      </c>
      <c r="I145" s="17"/>
    </row>
    <row r="146" customFormat="false" ht="15" hidden="false" customHeight="false" outlineLevel="0" collapsed="false">
      <c r="A146" s="19"/>
      <c r="B146" s="17"/>
      <c r="C146" s="17"/>
      <c r="D146" s="17"/>
      <c r="E146" s="18"/>
      <c r="F146" s="22"/>
      <c r="G146" s="22"/>
      <c r="H146" s="23" t="str">
        <f aca="false">IF(F146="","",MAX(0,F146-N(G146)))</f>
        <v/>
      </c>
      <c r="I146" s="17"/>
    </row>
    <row r="147" customFormat="false" ht="15" hidden="false" customHeight="false" outlineLevel="0" collapsed="false">
      <c r="A147" s="19"/>
      <c r="B147" s="17"/>
      <c r="C147" s="17"/>
      <c r="D147" s="17"/>
      <c r="E147" s="18"/>
      <c r="F147" s="22"/>
      <c r="G147" s="22"/>
      <c r="H147" s="23" t="str">
        <f aca="false">IF(F147="","",MAX(0,F147-N(G147)))</f>
        <v/>
      </c>
      <c r="I147" s="17"/>
    </row>
    <row r="148" customFormat="false" ht="15" hidden="false" customHeight="false" outlineLevel="0" collapsed="false">
      <c r="A148" s="19"/>
      <c r="B148" s="17"/>
      <c r="C148" s="17"/>
      <c r="D148" s="17"/>
      <c r="E148" s="18"/>
      <c r="F148" s="22"/>
      <c r="G148" s="22"/>
      <c r="H148" s="23" t="str">
        <f aca="false">IF(F148="","",MAX(0,F148-N(G148)))</f>
        <v/>
      </c>
      <c r="I148" s="17"/>
    </row>
    <row r="149" customFormat="false" ht="15" hidden="false" customHeight="false" outlineLevel="0" collapsed="false">
      <c r="A149" s="19"/>
      <c r="B149" s="17"/>
      <c r="C149" s="17"/>
      <c r="D149" s="17"/>
      <c r="E149" s="18"/>
      <c r="F149" s="22"/>
      <c r="G149" s="22"/>
      <c r="H149" s="23" t="str">
        <f aca="false">IF(F149="","",MAX(0,F149-N(G149)))</f>
        <v/>
      </c>
      <c r="I149" s="17"/>
    </row>
    <row r="150" customFormat="false" ht="15" hidden="false" customHeight="false" outlineLevel="0" collapsed="false">
      <c r="A150" s="19"/>
      <c r="B150" s="17"/>
      <c r="C150" s="17"/>
      <c r="D150" s="17"/>
      <c r="E150" s="18"/>
      <c r="F150" s="22"/>
      <c r="G150" s="22"/>
      <c r="H150" s="23" t="str">
        <f aca="false">IF(F150="","",MAX(0,F150-N(G150)))</f>
        <v/>
      </c>
      <c r="I150" s="17"/>
    </row>
    <row r="151" customFormat="false" ht="15" hidden="false" customHeight="false" outlineLevel="0" collapsed="false">
      <c r="A151" s="19"/>
      <c r="B151" s="17"/>
      <c r="C151" s="17"/>
      <c r="D151" s="17"/>
      <c r="E151" s="18"/>
      <c r="F151" s="22"/>
      <c r="G151" s="22"/>
      <c r="H151" s="23" t="str">
        <f aca="false">IF(F151="","",MAX(0,F151-N(G151)))</f>
        <v/>
      </c>
      <c r="I151" s="17"/>
    </row>
    <row r="152" customFormat="false" ht="15" hidden="false" customHeight="false" outlineLevel="0" collapsed="false">
      <c r="A152" s="19"/>
      <c r="B152" s="17"/>
      <c r="C152" s="17"/>
      <c r="D152" s="17"/>
      <c r="E152" s="18"/>
      <c r="F152" s="22"/>
      <c r="G152" s="22"/>
      <c r="H152" s="23" t="str">
        <f aca="false">IF(F152="","",MAX(0,F152-N(G152)))</f>
        <v/>
      </c>
      <c r="I152" s="17"/>
    </row>
    <row r="153" customFormat="false" ht="15" hidden="false" customHeight="false" outlineLevel="0" collapsed="false">
      <c r="A153" s="19"/>
      <c r="B153" s="17"/>
      <c r="C153" s="17"/>
      <c r="D153" s="17"/>
      <c r="E153" s="18"/>
      <c r="F153" s="22"/>
      <c r="G153" s="22"/>
      <c r="H153" s="23" t="str">
        <f aca="false">IF(F153="","",MAX(0,F153-N(G153)))</f>
        <v/>
      </c>
      <c r="I153" s="17"/>
    </row>
    <row r="154" customFormat="false" ht="15" hidden="false" customHeight="false" outlineLevel="0" collapsed="false">
      <c r="A154" s="19"/>
      <c r="B154" s="17"/>
      <c r="C154" s="17"/>
      <c r="D154" s="17"/>
      <c r="E154" s="18"/>
      <c r="F154" s="22"/>
      <c r="G154" s="22"/>
      <c r="H154" s="23" t="str">
        <f aca="false">IF(F154="","",MAX(0,F154-N(G154)))</f>
        <v/>
      </c>
      <c r="I154" s="17"/>
    </row>
    <row r="155" customFormat="false" ht="15" hidden="false" customHeight="false" outlineLevel="0" collapsed="false">
      <c r="A155" s="19"/>
      <c r="B155" s="17"/>
      <c r="C155" s="17"/>
      <c r="D155" s="17"/>
      <c r="E155" s="18"/>
      <c r="F155" s="22"/>
      <c r="G155" s="22"/>
      <c r="H155" s="23" t="str">
        <f aca="false">IF(F155="","",MAX(0,F155-N(G155)))</f>
        <v/>
      </c>
      <c r="I155" s="17"/>
    </row>
    <row r="156" customFormat="false" ht="15" hidden="false" customHeight="false" outlineLevel="0" collapsed="false">
      <c r="A156" s="19"/>
      <c r="B156" s="17"/>
      <c r="C156" s="17"/>
      <c r="D156" s="17"/>
      <c r="E156" s="18"/>
      <c r="F156" s="22"/>
      <c r="G156" s="22"/>
      <c r="H156" s="23" t="str">
        <f aca="false">IF(F156="","",MAX(0,F156-N(G156)))</f>
        <v/>
      </c>
      <c r="I156" s="17"/>
    </row>
    <row r="157" customFormat="false" ht="15" hidden="false" customHeight="false" outlineLevel="0" collapsed="false">
      <c r="A157" s="19"/>
      <c r="B157" s="17"/>
      <c r="C157" s="17"/>
      <c r="D157" s="17"/>
      <c r="E157" s="18"/>
      <c r="F157" s="22"/>
      <c r="G157" s="22"/>
      <c r="H157" s="23" t="str">
        <f aca="false">IF(F157="","",MAX(0,F157-N(G157)))</f>
        <v/>
      </c>
      <c r="I157" s="17"/>
    </row>
    <row r="158" customFormat="false" ht="15" hidden="false" customHeight="false" outlineLevel="0" collapsed="false">
      <c r="A158" s="19"/>
      <c r="B158" s="17"/>
      <c r="C158" s="17"/>
      <c r="D158" s="17"/>
      <c r="E158" s="18"/>
      <c r="F158" s="22"/>
      <c r="G158" s="22"/>
      <c r="H158" s="23" t="str">
        <f aca="false">IF(F158="","",MAX(0,F158-N(G158)))</f>
        <v/>
      </c>
      <c r="I158" s="17"/>
    </row>
    <row r="159" customFormat="false" ht="15" hidden="false" customHeight="false" outlineLevel="0" collapsed="false">
      <c r="A159" s="19"/>
      <c r="B159" s="17"/>
      <c r="C159" s="17"/>
      <c r="D159" s="17"/>
      <c r="E159" s="18"/>
      <c r="F159" s="22"/>
      <c r="G159" s="22"/>
      <c r="H159" s="23" t="str">
        <f aca="false">IF(F159="","",MAX(0,F159-N(G159)))</f>
        <v/>
      </c>
      <c r="I159" s="17"/>
    </row>
    <row r="160" customFormat="false" ht="15" hidden="false" customHeight="false" outlineLevel="0" collapsed="false">
      <c r="A160" s="19"/>
      <c r="B160" s="17"/>
      <c r="C160" s="17"/>
      <c r="D160" s="17"/>
      <c r="E160" s="18"/>
      <c r="F160" s="22"/>
      <c r="G160" s="22"/>
      <c r="H160" s="23" t="str">
        <f aca="false">IF(F160="","",MAX(0,F160-N(G160)))</f>
        <v/>
      </c>
      <c r="I160" s="17"/>
    </row>
    <row r="161" customFormat="false" ht="15" hidden="false" customHeight="false" outlineLevel="0" collapsed="false">
      <c r="A161" s="19"/>
      <c r="B161" s="17"/>
      <c r="C161" s="17"/>
      <c r="D161" s="17"/>
      <c r="E161" s="18"/>
      <c r="F161" s="22"/>
      <c r="G161" s="22"/>
      <c r="H161" s="23" t="str">
        <f aca="false">IF(F161="","",MAX(0,F161-N(G161)))</f>
        <v/>
      </c>
      <c r="I161" s="17"/>
    </row>
    <row r="162" customFormat="false" ht="15" hidden="false" customHeight="false" outlineLevel="0" collapsed="false">
      <c r="A162" s="19"/>
      <c r="B162" s="17"/>
      <c r="C162" s="17"/>
      <c r="D162" s="17"/>
      <c r="E162" s="18"/>
      <c r="F162" s="22"/>
      <c r="G162" s="22"/>
      <c r="H162" s="23" t="str">
        <f aca="false">IF(F162="","",MAX(0,F162-N(G162)))</f>
        <v/>
      </c>
      <c r="I162" s="17"/>
    </row>
    <row r="163" customFormat="false" ht="15" hidden="false" customHeight="false" outlineLevel="0" collapsed="false">
      <c r="A163" s="19"/>
      <c r="B163" s="17"/>
      <c r="C163" s="17"/>
      <c r="D163" s="17"/>
      <c r="E163" s="18"/>
      <c r="F163" s="22"/>
      <c r="G163" s="22"/>
      <c r="H163" s="23" t="str">
        <f aca="false">IF(F163="","",MAX(0,F163-N(G163)))</f>
        <v/>
      </c>
      <c r="I163" s="17"/>
    </row>
    <row r="164" customFormat="false" ht="15" hidden="false" customHeight="false" outlineLevel="0" collapsed="false">
      <c r="A164" s="19"/>
      <c r="B164" s="17"/>
      <c r="C164" s="17"/>
      <c r="D164" s="17"/>
      <c r="E164" s="18"/>
      <c r="F164" s="22"/>
      <c r="G164" s="22"/>
      <c r="H164" s="23" t="str">
        <f aca="false">IF(F164="","",MAX(0,F164-N(G164)))</f>
        <v/>
      </c>
      <c r="I164" s="17"/>
    </row>
    <row r="165" customFormat="false" ht="15" hidden="false" customHeight="false" outlineLevel="0" collapsed="false">
      <c r="A165" s="19"/>
      <c r="B165" s="17"/>
      <c r="C165" s="17"/>
      <c r="D165" s="17"/>
      <c r="E165" s="18"/>
      <c r="F165" s="22"/>
      <c r="G165" s="22"/>
      <c r="H165" s="23" t="str">
        <f aca="false">IF(F165="","",MAX(0,F165-N(G165)))</f>
        <v/>
      </c>
      <c r="I165" s="17"/>
    </row>
    <row r="166" customFormat="false" ht="15" hidden="false" customHeight="false" outlineLevel="0" collapsed="false">
      <c r="A166" s="19"/>
      <c r="B166" s="17"/>
      <c r="C166" s="17"/>
      <c r="D166" s="17"/>
      <c r="E166" s="18"/>
      <c r="F166" s="22"/>
      <c r="G166" s="22"/>
      <c r="H166" s="23" t="str">
        <f aca="false">IF(F166="","",MAX(0,F166-N(G166)))</f>
        <v/>
      </c>
      <c r="I166" s="17"/>
    </row>
    <row r="167" customFormat="false" ht="15" hidden="false" customHeight="false" outlineLevel="0" collapsed="false">
      <c r="A167" s="19"/>
      <c r="B167" s="17"/>
      <c r="C167" s="17"/>
      <c r="D167" s="17"/>
      <c r="E167" s="18"/>
      <c r="F167" s="22"/>
      <c r="G167" s="22"/>
      <c r="H167" s="23" t="str">
        <f aca="false">IF(F167="","",MAX(0,F167-N(G167)))</f>
        <v/>
      </c>
      <c r="I167" s="17"/>
    </row>
    <row r="168" customFormat="false" ht="15" hidden="false" customHeight="false" outlineLevel="0" collapsed="false">
      <c r="A168" s="19"/>
      <c r="B168" s="17"/>
      <c r="C168" s="17"/>
      <c r="D168" s="17"/>
      <c r="E168" s="18"/>
      <c r="F168" s="22"/>
      <c r="G168" s="22"/>
      <c r="H168" s="23" t="str">
        <f aca="false">IF(F168="","",MAX(0,F168-N(G168)))</f>
        <v/>
      </c>
      <c r="I168" s="17"/>
    </row>
    <row r="169" customFormat="false" ht="15" hidden="false" customHeight="false" outlineLevel="0" collapsed="false">
      <c r="A169" s="19"/>
      <c r="B169" s="17"/>
      <c r="C169" s="17"/>
      <c r="D169" s="17"/>
      <c r="E169" s="18"/>
      <c r="F169" s="22"/>
      <c r="G169" s="22"/>
      <c r="H169" s="23" t="str">
        <f aca="false">IF(F169="","",MAX(0,F169-N(G169)))</f>
        <v/>
      </c>
      <c r="I169" s="17"/>
    </row>
    <row r="170" customFormat="false" ht="15" hidden="false" customHeight="false" outlineLevel="0" collapsed="false">
      <c r="A170" s="19"/>
      <c r="B170" s="17"/>
      <c r="C170" s="17"/>
      <c r="D170" s="17"/>
      <c r="E170" s="18"/>
      <c r="F170" s="22"/>
      <c r="G170" s="22"/>
      <c r="H170" s="23" t="str">
        <f aca="false">IF(F170="","",MAX(0,F170-N(G170)))</f>
        <v/>
      </c>
      <c r="I170" s="17"/>
    </row>
    <row r="171" customFormat="false" ht="15" hidden="false" customHeight="false" outlineLevel="0" collapsed="false">
      <c r="A171" s="19"/>
      <c r="B171" s="17"/>
      <c r="C171" s="17"/>
      <c r="D171" s="17"/>
      <c r="E171" s="18"/>
      <c r="F171" s="22"/>
      <c r="G171" s="22"/>
      <c r="H171" s="23" t="str">
        <f aca="false">IF(F171="","",MAX(0,F171-N(G171)))</f>
        <v/>
      </c>
      <c r="I171" s="17"/>
    </row>
    <row r="172" customFormat="false" ht="15" hidden="false" customHeight="false" outlineLevel="0" collapsed="false">
      <c r="A172" s="19"/>
      <c r="B172" s="17"/>
      <c r="C172" s="17"/>
      <c r="D172" s="17"/>
      <c r="E172" s="18"/>
      <c r="F172" s="22"/>
      <c r="G172" s="22"/>
      <c r="H172" s="23" t="str">
        <f aca="false">IF(F172="","",MAX(0,F172-N(G172)))</f>
        <v/>
      </c>
      <c r="I172" s="17"/>
    </row>
    <row r="173" customFormat="false" ht="15" hidden="false" customHeight="false" outlineLevel="0" collapsed="false">
      <c r="A173" s="19"/>
      <c r="B173" s="17"/>
      <c r="C173" s="17"/>
      <c r="D173" s="17"/>
      <c r="E173" s="18"/>
      <c r="F173" s="22"/>
      <c r="G173" s="22"/>
      <c r="H173" s="23" t="str">
        <f aca="false">IF(F173="","",MAX(0,F173-N(G173)))</f>
        <v/>
      </c>
      <c r="I173" s="17"/>
    </row>
    <row r="174" customFormat="false" ht="15" hidden="false" customHeight="false" outlineLevel="0" collapsed="false">
      <c r="A174" s="19"/>
      <c r="B174" s="17"/>
      <c r="C174" s="17"/>
      <c r="D174" s="17"/>
      <c r="E174" s="18"/>
      <c r="F174" s="22"/>
      <c r="G174" s="22"/>
      <c r="H174" s="23" t="str">
        <f aca="false">IF(F174="","",MAX(0,F174-N(G174)))</f>
        <v/>
      </c>
      <c r="I174" s="17"/>
    </row>
    <row r="175" customFormat="false" ht="15" hidden="false" customHeight="false" outlineLevel="0" collapsed="false">
      <c r="A175" s="19"/>
      <c r="B175" s="17"/>
      <c r="C175" s="17"/>
      <c r="D175" s="17"/>
      <c r="E175" s="18"/>
      <c r="F175" s="22"/>
      <c r="G175" s="22"/>
      <c r="H175" s="23" t="str">
        <f aca="false">IF(F175="","",MAX(0,F175-N(G175)))</f>
        <v/>
      </c>
      <c r="I175" s="17"/>
    </row>
    <row r="176" customFormat="false" ht="15" hidden="false" customHeight="false" outlineLevel="0" collapsed="false">
      <c r="A176" s="19"/>
      <c r="B176" s="17"/>
      <c r="C176" s="17"/>
      <c r="D176" s="17"/>
      <c r="E176" s="18"/>
      <c r="F176" s="22"/>
      <c r="G176" s="22"/>
      <c r="H176" s="23" t="str">
        <f aca="false">IF(F176="","",MAX(0,F176-N(G176)))</f>
        <v/>
      </c>
      <c r="I176" s="17"/>
    </row>
    <row r="177" customFormat="false" ht="15" hidden="false" customHeight="false" outlineLevel="0" collapsed="false">
      <c r="A177" s="19"/>
      <c r="B177" s="17"/>
      <c r="C177" s="17"/>
      <c r="D177" s="17"/>
      <c r="E177" s="18"/>
      <c r="F177" s="22"/>
      <c r="G177" s="22"/>
      <c r="H177" s="23" t="str">
        <f aca="false">IF(F177="","",MAX(0,F177-N(G177)))</f>
        <v/>
      </c>
      <c r="I177" s="17"/>
    </row>
    <row r="178" customFormat="false" ht="15" hidden="false" customHeight="false" outlineLevel="0" collapsed="false">
      <c r="A178" s="19"/>
      <c r="B178" s="17"/>
      <c r="C178" s="17"/>
      <c r="D178" s="17"/>
      <c r="E178" s="18"/>
      <c r="F178" s="22"/>
      <c r="G178" s="22"/>
      <c r="H178" s="23" t="str">
        <f aca="false">IF(F178="","",MAX(0,F178-N(G178)))</f>
        <v/>
      </c>
      <c r="I178" s="17"/>
    </row>
    <row r="179" customFormat="false" ht="15" hidden="false" customHeight="false" outlineLevel="0" collapsed="false">
      <c r="A179" s="19"/>
      <c r="B179" s="17"/>
      <c r="C179" s="17"/>
      <c r="D179" s="17"/>
      <c r="E179" s="18"/>
      <c r="F179" s="22"/>
      <c r="G179" s="22"/>
      <c r="H179" s="23" t="str">
        <f aca="false">IF(F179="","",MAX(0,F179-N(G179)))</f>
        <v/>
      </c>
      <c r="I179" s="17"/>
    </row>
    <row r="180" customFormat="false" ht="15" hidden="false" customHeight="false" outlineLevel="0" collapsed="false">
      <c r="A180" s="19"/>
      <c r="B180" s="17"/>
      <c r="C180" s="17"/>
      <c r="D180" s="17"/>
      <c r="E180" s="18"/>
      <c r="F180" s="22"/>
      <c r="G180" s="22"/>
      <c r="H180" s="23" t="str">
        <f aca="false">IF(F180="","",MAX(0,F180-N(G180)))</f>
        <v/>
      </c>
      <c r="I180" s="17"/>
    </row>
    <row r="181" customFormat="false" ht="15" hidden="false" customHeight="false" outlineLevel="0" collapsed="false">
      <c r="A181" s="19"/>
      <c r="B181" s="17"/>
      <c r="C181" s="17"/>
      <c r="D181" s="17"/>
      <c r="E181" s="18"/>
      <c r="F181" s="22"/>
      <c r="G181" s="22"/>
      <c r="H181" s="23" t="str">
        <f aca="false">IF(F181="","",MAX(0,F181-N(G181)))</f>
        <v/>
      </c>
      <c r="I181" s="17"/>
    </row>
    <row r="182" customFormat="false" ht="15" hidden="false" customHeight="false" outlineLevel="0" collapsed="false">
      <c r="A182" s="19"/>
      <c r="B182" s="17"/>
      <c r="C182" s="17"/>
      <c r="D182" s="17"/>
      <c r="E182" s="18"/>
      <c r="F182" s="22"/>
      <c r="G182" s="22"/>
      <c r="H182" s="23" t="str">
        <f aca="false">IF(F182="","",MAX(0,F182-N(G182)))</f>
        <v/>
      </c>
      <c r="I182" s="17"/>
    </row>
    <row r="183" customFormat="false" ht="15" hidden="false" customHeight="false" outlineLevel="0" collapsed="false">
      <c r="A183" s="19"/>
      <c r="B183" s="17"/>
      <c r="C183" s="17"/>
      <c r="D183" s="17"/>
      <c r="E183" s="18"/>
      <c r="F183" s="22"/>
      <c r="G183" s="22"/>
      <c r="H183" s="23" t="str">
        <f aca="false">IF(F183="","",MAX(0,F183-N(G183)))</f>
        <v/>
      </c>
      <c r="I183" s="17"/>
    </row>
    <row r="184" customFormat="false" ht="15" hidden="false" customHeight="false" outlineLevel="0" collapsed="false">
      <c r="A184" s="19"/>
      <c r="B184" s="17"/>
      <c r="C184" s="17"/>
      <c r="D184" s="17"/>
      <c r="E184" s="18"/>
      <c r="F184" s="22"/>
      <c r="G184" s="22"/>
      <c r="H184" s="23" t="str">
        <f aca="false">IF(F184="","",MAX(0,F184-N(G184)))</f>
        <v/>
      </c>
      <c r="I184" s="17"/>
    </row>
    <row r="185" customFormat="false" ht="15" hidden="false" customHeight="false" outlineLevel="0" collapsed="false">
      <c r="A185" s="19"/>
      <c r="B185" s="17"/>
      <c r="C185" s="17"/>
      <c r="D185" s="17"/>
      <c r="E185" s="18"/>
      <c r="F185" s="22"/>
      <c r="G185" s="22"/>
      <c r="H185" s="23" t="str">
        <f aca="false">IF(F185="","",MAX(0,F185-N(G185)))</f>
        <v/>
      </c>
      <c r="I185" s="17"/>
    </row>
    <row r="186" customFormat="false" ht="15" hidden="false" customHeight="false" outlineLevel="0" collapsed="false">
      <c r="A186" s="19"/>
      <c r="B186" s="17"/>
      <c r="C186" s="17"/>
      <c r="D186" s="17"/>
      <c r="E186" s="18"/>
      <c r="F186" s="22"/>
      <c r="G186" s="22"/>
      <c r="H186" s="23" t="str">
        <f aca="false">IF(F186="","",MAX(0,F186-N(G186)))</f>
        <v/>
      </c>
      <c r="I186" s="17"/>
    </row>
    <row r="187" customFormat="false" ht="15" hidden="false" customHeight="false" outlineLevel="0" collapsed="false">
      <c r="A187" s="19"/>
      <c r="B187" s="17"/>
      <c r="C187" s="17"/>
      <c r="D187" s="17"/>
      <c r="E187" s="18"/>
      <c r="F187" s="22"/>
      <c r="G187" s="22"/>
      <c r="H187" s="23" t="str">
        <f aca="false">IF(F187="","",MAX(0,F187-N(G187)))</f>
        <v/>
      </c>
      <c r="I187" s="17"/>
    </row>
    <row r="188" customFormat="false" ht="15" hidden="false" customHeight="false" outlineLevel="0" collapsed="false">
      <c r="A188" s="19"/>
      <c r="B188" s="17"/>
      <c r="C188" s="17"/>
      <c r="D188" s="17"/>
      <c r="E188" s="18"/>
      <c r="F188" s="22"/>
      <c r="G188" s="22"/>
      <c r="H188" s="23" t="str">
        <f aca="false">IF(F188="","",MAX(0,F188-N(G188)))</f>
        <v/>
      </c>
      <c r="I188" s="17"/>
    </row>
    <row r="189" customFormat="false" ht="15" hidden="false" customHeight="false" outlineLevel="0" collapsed="false">
      <c r="A189" s="19"/>
      <c r="B189" s="17"/>
      <c r="C189" s="17"/>
      <c r="D189" s="17"/>
      <c r="E189" s="18"/>
      <c r="F189" s="22"/>
      <c r="G189" s="22"/>
      <c r="H189" s="23" t="str">
        <f aca="false">IF(F189="","",MAX(0,F189-N(G189)))</f>
        <v/>
      </c>
      <c r="I189" s="17"/>
    </row>
    <row r="190" customFormat="false" ht="15" hidden="false" customHeight="false" outlineLevel="0" collapsed="false">
      <c r="A190" s="19"/>
      <c r="B190" s="17"/>
      <c r="C190" s="17"/>
      <c r="D190" s="17"/>
      <c r="E190" s="18"/>
      <c r="F190" s="22"/>
      <c r="G190" s="22"/>
      <c r="H190" s="23" t="str">
        <f aca="false">IF(F190="","",MAX(0,F190-N(G190)))</f>
        <v/>
      </c>
      <c r="I190" s="17"/>
    </row>
    <row r="191" customFormat="false" ht="15" hidden="false" customHeight="false" outlineLevel="0" collapsed="false">
      <c r="A191" s="19"/>
      <c r="B191" s="17"/>
      <c r="C191" s="17"/>
      <c r="D191" s="17"/>
      <c r="E191" s="18"/>
      <c r="F191" s="22"/>
      <c r="G191" s="22"/>
      <c r="H191" s="23" t="str">
        <f aca="false">IF(F191="","",MAX(0,F191-N(G191)))</f>
        <v/>
      </c>
      <c r="I191" s="17"/>
    </row>
    <row r="192" customFormat="false" ht="15" hidden="false" customHeight="false" outlineLevel="0" collapsed="false">
      <c r="A192" s="19"/>
      <c r="B192" s="17"/>
      <c r="C192" s="17"/>
      <c r="D192" s="17"/>
      <c r="E192" s="18"/>
      <c r="F192" s="22"/>
      <c r="G192" s="22"/>
      <c r="H192" s="23" t="str">
        <f aca="false">IF(F192="","",MAX(0,F192-N(G192)))</f>
        <v/>
      </c>
      <c r="I192" s="17"/>
    </row>
    <row r="193" customFormat="false" ht="15" hidden="false" customHeight="false" outlineLevel="0" collapsed="false">
      <c r="A193" s="19"/>
      <c r="B193" s="17"/>
      <c r="C193" s="17"/>
      <c r="D193" s="17"/>
      <c r="E193" s="18"/>
      <c r="F193" s="22"/>
      <c r="G193" s="22"/>
      <c r="H193" s="23" t="str">
        <f aca="false">IF(F193="","",MAX(0,F193-N(G193)))</f>
        <v/>
      </c>
      <c r="I193" s="17"/>
    </row>
    <row r="194" customFormat="false" ht="15" hidden="false" customHeight="false" outlineLevel="0" collapsed="false">
      <c r="A194" s="19"/>
      <c r="B194" s="17"/>
      <c r="C194" s="17"/>
      <c r="D194" s="17"/>
      <c r="E194" s="18"/>
      <c r="F194" s="22"/>
      <c r="G194" s="22"/>
      <c r="H194" s="23" t="str">
        <f aca="false">IF(F194="","",MAX(0,F194-N(G194)))</f>
        <v/>
      </c>
      <c r="I194" s="17"/>
    </row>
    <row r="195" customFormat="false" ht="15" hidden="false" customHeight="false" outlineLevel="0" collapsed="false">
      <c r="A195" s="19"/>
      <c r="B195" s="17"/>
      <c r="C195" s="17"/>
      <c r="D195" s="17"/>
      <c r="E195" s="18"/>
      <c r="F195" s="22"/>
      <c r="G195" s="22"/>
      <c r="H195" s="23" t="str">
        <f aca="false">IF(F195="","",MAX(0,F195-N(G195)))</f>
        <v/>
      </c>
      <c r="I195" s="17"/>
    </row>
    <row r="196" customFormat="false" ht="15" hidden="false" customHeight="false" outlineLevel="0" collapsed="false">
      <c r="A196" s="19"/>
      <c r="B196" s="17"/>
      <c r="C196" s="17"/>
      <c r="D196" s="17"/>
      <c r="E196" s="18"/>
      <c r="F196" s="22"/>
      <c r="G196" s="22"/>
      <c r="H196" s="23" t="str">
        <f aca="false">IF(F196="","",MAX(0,F196-N(G196)))</f>
        <v/>
      </c>
      <c r="I196" s="17"/>
    </row>
    <row r="197" customFormat="false" ht="15" hidden="false" customHeight="false" outlineLevel="0" collapsed="false">
      <c r="A197" s="19"/>
      <c r="B197" s="17"/>
      <c r="C197" s="17"/>
      <c r="D197" s="17"/>
      <c r="E197" s="18"/>
      <c r="F197" s="22"/>
      <c r="G197" s="22"/>
      <c r="H197" s="23" t="str">
        <f aca="false">IF(F197="","",MAX(0,F197-N(G197)))</f>
        <v/>
      </c>
      <c r="I197" s="17"/>
    </row>
    <row r="198" customFormat="false" ht="15" hidden="false" customHeight="false" outlineLevel="0" collapsed="false">
      <c r="A198" s="19"/>
      <c r="B198" s="17"/>
      <c r="C198" s="17"/>
      <c r="D198" s="17"/>
      <c r="E198" s="18"/>
      <c r="F198" s="22"/>
      <c r="G198" s="22"/>
      <c r="H198" s="23" t="str">
        <f aca="false">IF(F198="","",MAX(0,F198-N(G198)))</f>
        <v/>
      </c>
      <c r="I198" s="17"/>
    </row>
    <row r="199" customFormat="false" ht="15" hidden="false" customHeight="false" outlineLevel="0" collapsed="false">
      <c r="A199" s="19"/>
      <c r="B199" s="17"/>
      <c r="C199" s="17"/>
      <c r="D199" s="17"/>
      <c r="E199" s="18"/>
      <c r="F199" s="22"/>
      <c r="G199" s="22"/>
      <c r="H199" s="23" t="str">
        <f aca="false">IF(F199="","",MAX(0,F199-N(G199)))</f>
        <v/>
      </c>
      <c r="I199" s="17"/>
    </row>
    <row r="200" customFormat="false" ht="15" hidden="false" customHeight="false" outlineLevel="0" collapsed="false">
      <c r="A200" s="19"/>
      <c r="B200" s="17"/>
      <c r="C200" s="17"/>
      <c r="D200" s="17"/>
      <c r="E200" s="18"/>
      <c r="F200" s="22"/>
      <c r="G200" s="22"/>
      <c r="H200" s="23" t="str">
        <f aca="false">IF(F200="","",MAX(0,F200-N(G200)))</f>
        <v/>
      </c>
      <c r="I200" s="17"/>
    </row>
    <row r="201" customFormat="false" ht="15" hidden="false" customHeight="false" outlineLevel="0" collapsed="false">
      <c r="A201" s="19"/>
      <c r="B201" s="17"/>
      <c r="C201" s="17"/>
      <c r="D201" s="17"/>
      <c r="E201" s="18"/>
      <c r="F201" s="22"/>
      <c r="G201" s="22"/>
      <c r="H201" s="23" t="str">
        <f aca="false">IF(F201="","",MAX(0,F201-N(G201)))</f>
        <v/>
      </c>
      <c r="I201" s="17"/>
    </row>
    <row r="202" customFormat="false" ht="15" hidden="false" customHeight="false" outlineLevel="0" collapsed="false">
      <c r="A202" s="19"/>
      <c r="B202" s="17"/>
      <c r="C202" s="17"/>
      <c r="D202" s="17"/>
      <c r="E202" s="18"/>
      <c r="F202" s="22"/>
      <c r="G202" s="22"/>
      <c r="H202" s="23" t="str">
        <f aca="false">IF(F202="","",MAX(0,F202-N(G202)))</f>
        <v/>
      </c>
      <c r="I202" s="17"/>
    </row>
    <row r="203" customFormat="false" ht="15" hidden="false" customHeight="false" outlineLevel="0" collapsed="false">
      <c r="A203" s="19"/>
      <c r="B203" s="17"/>
      <c r="C203" s="17"/>
      <c r="D203" s="17"/>
      <c r="E203" s="18"/>
      <c r="F203" s="22"/>
      <c r="G203" s="22"/>
      <c r="H203" s="23" t="str">
        <f aca="false">IF(F203="","",MAX(0,F203-N(G203)))</f>
        <v/>
      </c>
      <c r="I203" s="17"/>
    </row>
    <row r="204" customFormat="false" ht="15" hidden="false" customHeight="false" outlineLevel="0" collapsed="false">
      <c r="A204" s="19"/>
      <c r="B204" s="17"/>
      <c r="C204" s="17"/>
      <c r="D204" s="17"/>
      <c r="E204" s="18"/>
      <c r="F204" s="22"/>
      <c r="G204" s="22"/>
      <c r="H204" s="23" t="str">
        <f aca="false">IF(F204="","",MAX(0,F204-N(G204)))</f>
        <v/>
      </c>
      <c r="I204" s="17"/>
    </row>
    <row r="205" customFormat="false" ht="15" hidden="false" customHeight="false" outlineLevel="0" collapsed="false">
      <c r="A205" s="19"/>
      <c r="B205" s="17"/>
      <c r="C205" s="17"/>
      <c r="D205" s="17"/>
      <c r="E205" s="18"/>
      <c r="F205" s="22"/>
      <c r="G205" s="22"/>
      <c r="H205" s="23" t="str">
        <f aca="false">IF(F205="","",MAX(0,F205-N(G205)))</f>
        <v/>
      </c>
      <c r="I205" s="17"/>
    </row>
    <row r="206" customFormat="false" ht="15" hidden="false" customHeight="false" outlineLevel="0" collapsed="false">
      <c r="A206" s="19"/>
      <c r="B206" s="17"/>
      <c r="C206" s="17"/>
      <c r="D206" s="17"/>
      <c r="E206" s="18"/>
      <c r="F206" s="22"/>
      <c r="G206" s="22"/>
      <c r="H206" s="23" t="str">
        <f aca="false">IF(F206="","",MAX(0,F206-N(G206)))</f>
        <v/>
      </c>
      <c r="I206" s="17"/>
    </row>
    <row r="207" customFormat="false" ht="15" hidden="false" customHeight="false" outlineLevel="0" collapsed="false">
      <c r="A207" s="19"/>
      <c r="B207" s="17"/>
      <c r="C207" s="17"/>
      <c r="D207" s="17"/>
      <c r="E207" s="18"/>
      <c r="F207" s="22"/>
      <c r="G207" s="22"/>
      <c r="H207" s="23" t="str">
        <f aca="false">IF(F207="","",MAX(0,F207-N(G207)))</f>
        <v/>
      </c>
      <c r="I207" s="17"/>
    </row>
    <row r="208" customFormat="false" ht="15" hidden="false" customHeight="false" outlineLevel="0" collapsed="false">
      <c r="A208" s="19"/>
      <c r="B208" s="17"/>
      <c r="C208" s="17"/>
      <c r="D208" s="17"/>
      <c r="E208" s="18"/>
      <c r="F208" s="22"/>
      <c r="G208" s="22"/>
      <c r="H208" s="23" t="str">
        <f aca="false">IF(F208="","",MAX(0,F208-N(G208)))</f>
        <v/>
      </c>
      <c r="I208" s="17"/>
    </row>
    <row r="209" customFormat="false" ht="15" hidden="false" customHeight="false" outlineLevel="0" collapsed="false">
      <c r="A209" s="19"/>
      <c r="B209" s="17"/>
      <c r="C209" s="17"/>
      <c r="D209" s="17"/>
      <c r="E209" s="18"/>
      <c r="F209" s="22"/>
      <c r="G209" s="22"/>
      <c r="H209" s="23" t="str">
        <f aca="false">IF(F209="","",MAX(0,F209-N(G209)))</f>
        <v/>
      </c>
      <c r="I209" s="17"/>
    </row>
    <row r="210" customFormat="false" ht="15" hidden="false" customHeight="false" outlineLevel="0" collapsed="false">
      <c r="A210" s="19"/>
      <c r="B210" s="17"/>
      <c r="C210" s="17"/>
      <c r="D210" s="17"/>
      <c r="E210" s="18"/>
      <c r="F210" s="22"/>
      <c r="G210" s="22"/>
      <c r="H210" s="23" t="str">
        <f aca="false">IF(F210="","",MAX(0,F210-N(G210)))</f>
        <v/>
      </c>
      <c r="I210" s="17"/>
    </row>
    <row r="211" customFormat="false" ht="15" hidden="false" customHeight="false" outlineLevel="0" collapsed="false">
      <c r="A211" s="19"/>
      <c r="B211" s="17"/>
      <c r="C211" s="17"/>
      <c r="D211" s="17"/>
      <c r="E211" s="18"/>
      <c r="F211" s="22"/>
      <c r="G211" s="22"/>
      <c r="H211" s="23" t="str">
        <f aca="false">IF(F211="","",MAX(0,F211-N(G211)))</f>
        <v/>
      </c>
      <c r="I211" s="17"/>
    </row>
    <row r="212" customFormat="false" ht="15" hidden="false" customHeight="false" outlineLevel="0" collapsed="false">
      <c r="A212" s="19"/>
      <c r="B212" s="17"/>
      <c r="C212" s="17"/>
      <c r="D212" s="17"/>
      <c r="E212" s="18"/>
      <c r="F212" s="22"/>
      <c r="G212" s="22"/>
      <c r="H212" s="23" t="str">
        <f aca="false">IF(F212="","",MAX(0,F212-N(G212)))</f>
        <v/>
      </c>
      <c r="I212" s="17"/>
    </row>
    <row r="213" customFormat="false" ht="15" hidden="false" customHeight="false" outlineLevel="0" collapsed="false">
      <c r="A213" s="19"/>
      <c r="B213" s="17"/>
      <c r="C213" s="17"/>
      <c r="D213" s="17"/>
      <c r="E213" s="18"/>
      <c r="F213" s="22"/>
      <c r="G213" s="22"/>
      <c r="H213" s="23" t="str">
        <f aca="false">IF(F213="","",MAX(0,F213-N(G213)))</f>
        <v/>
      </c>
      <c r="I213" s="17"/>
    </row>
    <row r="214" customFormat="false" ht="15" hidden="false" customHeight="false" outlineLevel="0" collapsed="false">
      <c r="A214" s="19"/>
      <c r="B214" s="17"/>
      <c r="C214" s="17"/>
      <c r="D214" s="17"/>
      <c r="E214" s="18"/>
      <c r="F214" s="22"/>
      <c r="G214" s="22"/>
      <c r="H214" s="23" t="str">
        <f aca="false">IF(F214="","",MAX(0,F214-N(G214)))</f>
        <v/>
      </c>
      <c r="I214" s="17"/>
    </row>
    <row r="215" customFormat="false" ht="15" hidden="false" customHeight="false" outlineLevel="0" collapsed="false">
      <c r="A215" s="19"/>
      <c r="B215" s="17"/>
      <c r="C215" s="17"/>
      <c r="D215" s="17"/>
      <c r="E215" s="18"/>
      <c r="F215" s="22"/>
      <c r="G215" s="22"/>
      <c r="H215" s="23" t="str">
        <f aca="false">IF(F215="","",MAX(0,F215-N(G215)))</f>
        <v/>
      </c>
      <c r="I215" s="17"/>
    </row>
    <row r="216" customFormat="false" ht="15" hidden="false" customHeight="false" outlineLevel="0" collapsed="false">
      <c r="A216" s="19"/>
      <c r="B216" s="17"/>
      <c r="C216" s="17"/>
      <c r="D216" s="17"/>
      <c r="E216" s="18"/>
      <c r="F216" s="22"/>
      <c r="G216" s="22"/>
      <c r="H216" s="23" t="str">
        <f aca="false">IF(F216="","",MAX(0,F216-N(G216)))</f>
        <v/>
      </c>
      <c r="I216" s="17"/>
    </row>
    <row r="217" customFormat="false" ht="15" hidden="false" customHeight="false" outlineLevel="0" collapsed="false">
      <c r="A217" s="19"/>
      <c r="B217" s="17"/>
      <c r="C217" s="17"/>
      <c r="D217" s="17"/>
      <c r="E217" s="18"/>
      <c r="F217" s="22"/>
      <c r="G217" s="22"/>
      <c r="H217" s="23" t="str">
        <f aca="false">IF(F217="","",MAX(0,F217-N(G217)))</f>
        <v/>
      </c>
      <c r="I217" s="17"/>
    </row>
    <row r="218" customFormat="false" ht="15" hidden="false" customHeight="false" outlineLevel="0" collapsed="false">
      <c r="A218" s="19"/>
      <c r="B218" s="17"/>
      <c r="C218" s="17"/>
      <c r="D218" s="17"/>
      <c r="E218" s="18"/>
      <c r="F218" s="22"/>
      <c r="G218" s="22"/>
      <c r="H218" s="23" t="str">
        <f aca="false">IF(F218="","",MAX(0,F218-N(G218)))</f>
        <v/>
      </c>
      <c r="I218" s="17"/>
    </row>
    <row r="219" customFormat="false" ht="15" hidden="false" customHeight="false" outlineLevel="0" collapsed="false">
      <c r="A219" s="19"/>
      <c r="B219" s="17"/>
      <c r="C219" s="17"/>
      <c r="D219" s="17"/>
      <c r="E219" s="18"/>
      <c r="F219" s="22"/>
      <c r="G219" s="22"/>
      <c r="H219" s="23" t="str">
        <f aca="false">IF(F219="","",MAX(0,F219-N(G219)))</f>
        <v/>
      </c>
      <c r="I219" s="17"/>
    </row>
    <row r="220" customFormat="false" ht="15" hidden="false" customHeight="false" outlineLevel="0" collapsed="false">
      <c r="A220" s="19"/>
      <c r="B220" s="17"/>
      <c r="C220" s="17"/>
      <c r="D220" s="17"/>
      <c r="E220" s="18"/>
      <c r="F220" s="22"/>
      <c r="G220" s="22"/>
      <c r="H220" s="23" t="str">
        <f aca="false">IF(F220="","",MAX(0,F220-N(G220)))</f>
        <v/>
      </c>
      <c r="I220" s="17"/>
    </row>
    <row r="221" customFormat="false" ht="15" hidden="false" customHeight="false" outlineLevel="0" collapsed="false">
      <c r="A221" s="19"/>
      <c r="B221" s="17"/>
      <c r="C221" s="17"/>
      <c r="D221" s="17"/>
      <c r="E221" s="18"/>
      <c r="F221" s="22"/>
      <c r="G221" s="22"/>
      <c r="H221" s="23" t="str">
        <f aca="false">IF(F221="","",MAX(0,F221-N(G221)))</f>
        <v/>
      </c>
      <c r="I221" s="17"/>
    </row>
    <row r="222" customFormat="false" ht="15" hidden="false" customHeight="false" outlineLevel="0" collapsed="false">
      <c r="A222" s="19"/>
      <c r="B222" s="17"/>
      <c r="C222" s="17"/>
      <c r="D222" s="17"/>
      <c r="E222" s="18"/>
      <c r="F222" s="22"/>
      <c r="G222" s="22"/>
      <c r="H222" s="23" t="str">
        <f aca="false">IF(F222="","",MAX(0,F222-N(G222)))</f>
        <v/>
      </c>
      <c r="I222" s="17"/>
    </row>
    <row r="223" customFormat="false" ht="15" hidden="false" customHeight="false" outlineLevel="0" collapsed="false">
      <c r="A223" s="19"/>
      <c r="B223" s="17"/>
      <c r="C223" s="17"/>
      <c r="D223" s="17"/>
      <c r="E223" s="18"/>
      <c r="F223" s="22"/>
      <c r="G223" s="22"/>
      <c r="H223" s="23" t="str">
        <f aca="false">IF(F223="","",MAX(0,F223-N(G223)))</f>
        <v/>
      </c>
      <c r="I223" s="17"/>
    </row>
    <row r="224" customFormat="false" ht="15" hidden="false" customHeight="false" outlineLevel="0" collapsed="false">
      <c r="A224" s="19"/>
      <c r="B224" s="17"/>
      <c r="C224" s="17"/>
      <c r="D224" s="17"/>
      <c r="E224" s="18"/>
      <c r="F224" s="22"/>
      <c r="G224" s="22"/>
      <c r="H224" s="23" t="str">
        <f aca="false">IF(F224="","",MAX(0,F224-N(G224)))</f>
        <v/>
      </c>
      <c r="I224" s="17"/>
    </row>
    <row r="225" customFormat="false" ht="15" hidden="false" customHeight="false" outlineLevel="0" collapsed="false">
      <c r="A225" s="19"/>
      <c r="B225" s="17"/>
      <c r="C225" s="17"/>
      <c r="D225" s="17"/>
      <c r="E225" s="18"/>
      <c r="F225" s="22"/>
      <c r="G225" s="22"/>
      <c r="H225" s="23" t="str">
        <f aca="false">IF(F225="","",MAX(0,F225-N(G225)))</f>
        <v/>
      </c>
      <c r="I225" s="17"/>
    </row>
    <row r="226" customFormat="false" ht="15" hidden="false" customHeight="false" outlineLevel="0" collapsed="false">
      <c r="A226" s="19"/>
      <c r="B226" s="17"/>
      <c r="C226" s="17"/>
      <c r="D226" s="17"/>
      <c r="E226" s="18"/>
      <c r="F226" s="22"/>
      <c r="G226" s="22"/>
      <c r="H226" s="23" t="str">
        <f aca="false">IF(F226="","",MAX(0,F226-N(G226)))</f>
        <v/>
      </c>
      <c r="I226" s="17"/>
    </row>
    <row r="227" customFormat="false" ht="15" hidden="false" customHeight="false" outlineLevel="0" collapsed="false">
      <c r="A227" s="19"/>
      <c r="B227" s="17"/>
      <c r="C227" s="17"/>
      <c r="D227" s="17"/>
      <c r="E227" s="18"/>
      <c r="F227" s="22"/>
      <c r="G227" s="22"/>
      <c r="H227" s="23" t="str">
        <f aca="false">IF(F227="","",MAX(0,F227-N(G227)))</f>
        <v/>
      </c>
      <c r="I227" s="17"/>
    </row>
    <row r="228" customFormat="false" ht="15" hidden="false" customHeight="false" outlineLevel="0" collapsed="false">
      <c r="A228" s="19"/>
      <c r="B228" s="17"/>
      <c r="C228" s="17"/>
      <c r="D228" s="17"/>
      <c r="E228" s="18"/>
      <c r="F228" s="22"/>
      <c r="G228" s="22"/>
      <c r="H228" s="23" t="str">
        <f aca="false">IF(F228="","",MAX(0,F228-N(G228)))</f>
        <v/>
      </c>
      <c r="I228" s="17"/>
    </row>
    <row r="229" customFormat="false" ht="15" hidden="false" customHeight="false" outlineLevel="0" collapsed="false">
      <c r="A229" s="19"/>
      <c r="B229" s="17"/>
      <c r="C229" s="17"/>
      <c r="D229" s="17"/>
      <c r="E229" s="18"/>
      <c r="F229" s="22"/>
      <c r="G229" s="22"/>
      <c r="H229" s="23" t="str">
        <f aca="false">IF(F229="","",MAX(0,F229-N(G229)))</f>
        <v/>
      </c>
      <c r="I229" s="17"/>
    </row>
    <row r="230" customFormat="false" ht="15" hidden="false" customHeight="false" outlineLevel="0" collapsed="false">
      <c r="A230" s="19"/>
      <c r="B230" s="17"/>
      <c r="C230" s="17"/>
      <c r="D230" s="17"/>
      <c r="E230" s="18"/>
      <c r="F230" s="22"/>
      <c r="G230" s="22"/>
      <c r="H230" s="23" t="str">
        <f aca="false">IF(F230="","",MAX(0,F230-N(G230)))</f>
        <v/>
      </c>
      <c r="I230" s="17"/>
    </row>
    <row r="231" customFormat="false" ht="15" hidden="false" customHeight="false" outlineLevel="0" collapsed="false">
      <c r="A231" s="19"/>
      <c r="B231" s="17"/>
      <c r="C231" s="17"/>
      <c r="D231" s="17"/>
      <c r="E231" s="18"/>
      <c r="F231" s="22"/>
      <c r="G231" s="22"/>
      <c r="H231" s="23" t="str">
        <f aca="false">IF(F231="","",MAX(0,F231-N(G231)))</f>
        <v/>
      </c>
      <c r="I231" s="17"/>
    </row>
    <row r="232" customFormat="false" ht="15" hidden="false" customHeight="false" outlineLevel="0" collapsed="false">
      <c r="A232" s="19"/>
      <c r="B232" s="17"/>
      <c r="C232" s="17"/>
      <c r="D232" s="17"/>
      <c r="E232" s="18"/>
      <c r="F232" s="22"/>
      <c r="G232" s="22"/>
      <c r="H232" s="23" t="str">
        <f aca="false">IF(F232="","",MAX(0,F232-N(G232)))</f>
        <v/>
      </c>
      <c r="I232" s="17"/>
    </row>
    <row r="233" customFormat="false" ht="15" hidden="false" customHeight="false" outlineLevel="0" collapsed="false">
      <c r="A233" s="19"/>
      <c r="B233" s="17"/>
      <c r="C233" s="17"/>
      <c r="D233" s="17"/>
      <c r="E233" s="18"/>
      <c r="F233" s="22"/>
      <c r="G233" s="22"/>
      <c r="H233" s="23" t="str">
        <f aca="false">IF(F233="","",MAX(0,F233-N(G233)))</f>
        <v/>
      </c>
      <c r="I233" s="17"/>
    </row>
    <row r="234" customFormat="false" ht="15" hidden="false" customHeight="false" outlineLevel="0" collapsed="false">
      <c r="A234" s="19"/>
      <c r="B234" s="17"/>
      <c r="C234" s="17"/>
      <c r="D234" s="17"/>
      <c r="E234" s="18"/>
      <c r="F234" s="22"/>
      <c r="G234" s="22"/>
      <c r="H234" s="23" t="str">
        <f aca="false">IF(F234="","",MAX(0,F234-N(G234)))</f>
        <v/>
      </c>
      <c r="I234" s="17"/>
    </row>
    <row r="235" customFormat="false" ht="15" hidden="false" customHeight="false" outlineLevel="0" collapsed="false">
      <c r="A235" s="19"/>
      <c r="B235" s="17"/>
      <c r="C235" s="17"/>
      <c r="D235" s="17"/>
      <c r="E235" s="18"/>
      <c r="F235" s="22"/>
      <c r="G235" s="22"/>
      <c r="H235" s="23" t="str">
        <f aca="false">IF(F235="","",MAX(0,F235-N(G235)))</f>
        <v/>
      </c>
      <c r="I235" s="17"/>
    </row>
    <row r="236" customFormat="false" ht="15" hidden="false" customHeight="false" outlineLevel="0" collapsed="false">
      <c r="A236" s="19"/>
      <c r="B236" s="17"/>
      <c r="C236" s="17"/>
      <c r="D236" s="17"/>
      <c r="E236" s="18"/>
      <c r="F236" s="22"/>
      <c r="G236" s="22"/>
      <c r="H236" s="23" t="str">
        <f aca="false">IF(F236="","",MAX(0,F236-N(G236)))</f>
        <v/>
      </c>
      <c r="I236" s="17"/>
    </row>
    <row r="237" customFormat="false" ht="15" hidden="false" customHeight="false" outlineLevel="0" collapsed="false">
      <c r="A237" s="19"/>
      <c r="B237" s="17"/>
      <c r="C237" s="17"/>
      <c r="D237" s="17"/>
      <c r="E237" s="18"/>
      <c r="F237" s="22"/>
      <c r="G237" s="22"/>
      <c r="H237" s="23" t="str">
        <f aca="false">IF(F237="","",MAX(0,F237-N(G237)))</f>
        <v/>
      </c>
      <c r="I237" s="17"/>
    </row>
    <row r="238" customFormat="false" ht="15" hidden="false" customHeight="false" outlineLevel="0" collapsed="false">
      <c r="A238" s="19"/>
      <c r="B238" s="17"/>
      <c r="C238" s="17"/>
      <c r="D238" s="17"/>
      <c r="E238" s="18"/>
      <c r="F238" s="22"/>
      <c r="G238" s="22"/>
      <c r="H238" s="23" t="str">
        <f aca="false">IF(F238="","",MAX(0,F238-N(G238)))</f>
        <v/>
      </c>
      <c r="I238" s="17"/>
    </row>
    <row r="239" customFormat="false" ht="15" hidden="false" customHeight="false" outlineLevel="0" collapsed="false">
      <c r="A239" s="19"/>
      <c r="B239" s="17"/>
      <c r="C239" s="17"/>
      <c r="D239" s="17"/>
      <c r="E239" s="18"/>
      <c r="F239" s="22"/>
      <c r="G239" s="22"/>
      <c r="H239" s="23" t="str">
        <f aca="false">IF(F239="","",MAX(0,F239-N(G239)))</f>
        <v/>
      </c>
      <c r="I239" s="17"/>
    </row>
    <row r="240" customFormat="false" ht="15" hidden="false" customHeight="false" outlineLevel="0" collapsed="false">
      <c r="A240" s="19"/>
      <c r="B240" s="17"/>
      <c r="C240" s="17"/>
      <c r="D240" s="17"/>
      <c r="E240" s="18"/>
      <c r="F240" s="22"/>
      <c r="G240" s="22"/>
      <c r="H240" s="23" t="str">
        <f aca="false">IF(F240="","",MAX(0,F240-N(G240)))</f>
        <v/>
      </c>
      <c r="I240" s="17"/>
    </row>
    <row r="241" customFormat="false" ht="15" hidden="false" customHeight="false" outlineLevel="0" collapsed="false">
      <c r="A241" s="19"/>
      <c r="B241" s="17"/>
      <c r="C241" s="17"/>
      <c r="D241" s="17"/>
      <c r="E241" s="18"/>
      <c r="F241" s="22"/>
      <c r="G241" s="22"/>
      <c r="H241" s="23" t="str">
        <f aca="false">IF(F241="","",MAX(0,F241-N(G241)))</f>
        <v/>
      </c>
      <c r="I241" s="17"/>
    </row>
    <row r="242" customFormat="false" ht="15" hidden="false" customHeight="false" outlineLevel="0" collapsed="false">
      <c r="A242" s="19"/>
      <c r="B242" s="17"/>
      <c r="C242" s="17"/>
      <c r="D242" s="17"/>
      <c r="E242" s="18"/>
      <c r="F242" s="22"/>
      <c r="G242" s="22"/>
      <c r="H242" s="23" t="str">
        <f aca="false">IF(F242="","",MAX(0,F242-N(G242)))</f>
        <v/>
      </c>
      <c r="I242" s="17"/>
    </row>
    <row r="243" customFormat="false" ht="15" hidden="false" customHeight="false" outlineLevel="0" collapsed="false">
      <c r="A243" s="19"/>
      <c r="B243" s="17"/>
      <c r="C243" s="17"/>
      <c r="D243" s="17"/>
      <c r="E243" s="18"/>
      <c r="F243" s="22"/>
      <c r="G243" s="22"/>
      <c r="H243" s="23" t="str">
        <f aca="false">IF(F243="","",MAX(0,F243-N(G243)))</f>
        <v/>
      </c>
      <c r="I243" s="17"/>
    </row>
    <row r="244" customFormat="false" ht="15" hidden="false" customHeight="false" outlineLevel="0" collapsed="false">
      <c r="A244" s="19"/>
      <c r="B244" s="17"/>
      <c r="C244" s="17"/>
      <c r="D244" s="17"/>
      <c r="E244" s="18"/>
      <c r="F244" s="22"/>
      <c r="G244" s="22"/>
      <c r="H244" s="23" t="str">
        <f aca="false">IF(F244="","",MAX(0,F244-N(G244)))</f>
        <v/>
      </c>
      <c r="I244" s="17"/>
    </row>
    <row r="245" customFormat="false" ht="15" hidden="false" customHeight="false" outlineLevel="0" collapsed="false">
      <c r="A245" s="19"/>
      <c r="B245" s="17"/>
      <c r="C245" s="17"/>
      <c r="D245" s="17"/>
      <c r="E245" s="18"/>
      <c r="F245" s="22"/>
      <c r="G245" s="22"/>
      <c r="H245" s="23" t="str">
        <f aca="false">IF(F245="","",MAX(0,F245-N(G245)))</f>
        <v/>
      </c>
      <c r="I245" s="17"/>
    </row>
    <row r="246" customFormat="false" ht="15" hidden="false" customHeight="false" outlineLevel="0" collapsed="false">
      <c r="A246" s="19"/>
      <c r="B246" s="17"/>
      <c r="C246" s="17"/>
      <c r="D246" s="17"/>
      <c r="E246" s="18"/>
      <c r="F246" s="22"/>
      <c r="G246" s="22"/>
      <c r="H246" s="23" t="str">
        <f aca="false">IF(F246="","",MAX(0,F246-N(G246)))</f>
        <v/>
      </c>
      <c r="I246" s="17"/>
    </row>
    <row r="247" customFormat="false" ht="15" hidden="false" customHeight="false" outlineLevel="0" collapsed="false">
      <c r="A247" s="19"/>
      <c r="B247" s="17"/>
      <c r="C247" s="17"/>
      <c r="D247" s="17"/>
      <c r="E247" s="18"/>
      <c r="F247" s="22"/>
      <c r="G247" s="22"/>
      <c r="H247" s="23" t="str">
        <f aca="false">IF(F247="","",MAX(0,F247-N(G247)))</f>
        <v/>
      </c>
      <c r="I247" s="17"/>
    </row>
    <row r="248" customFormat="false" ht="15" hidden="false" customHeight="false" outlineLevel="0" collapsed="false">
      <c r="A248" s="19"/>
      <c r="B248" s="17"/>
      <c r="C248" s="17"/>
      <c r="D248" s="17"/>
      <c r="E248" s="18"/>
      <c r="F248" s="22"/>
      <c r="G248" s="22"/>
      <c r="H248" s="23" t="str">
        <f aca="false">IF(F248="","",MAX(0,F248-N(G248)))</f>
        <v/>
      </c>
      <c r="I248" s="17"/>
    </row>
    <row r="249" customFormat="false" ht="15" hidden="false" customHeight="false" outlineLevel="0" collapsed="false">
      <c r="A249" s="19"/>
      <c r="B249" s="17"/>
      <c r="C249" s="17"/>
      <c r="D249" s="17"/>
      <c r="E249" s="18"/>
      <c r="F249" s="22"/>
      <c r="G249" s="22"/>
      <c r="H249" s="23" t="str">
        <f aca="false">IF(F249="","",MAX(0,F249-N(G249)))</f>
        <v/>
      </c>
      <c r="I249" s="17"/>
    </row>
    <row r="250" customFormat="false" ht="15" hidden="false" customHeight="false" outlineLevel="0" collapsed="false">
      <c r="A250" s="19"/>
      <c r="B250" s="17"/>
      <c r="C250" s="17"/>
      <c r="D250" s="17"/>
      <c r="E250" s="18"/>
      <c r="F250" s="22"/>
      <c r="G250" s="22"/>
      <c r="H250" s="23" t="str">
        <f aca="false">IF(F250="","",MAX(0,F250-N(G250)))</f>
        <v/>
      </c>
      <c r="I250" s="17"/>
    </row>
    <row r="251" customFormat="false" ht="15" hidden="false" customHeight="false" outlineLevel="0" collapsed="false">
      <c r="A251" s="19"/>
      <c r="B251" s="17"/>
      <c r="C251" s="17"/>
      <c r="D251" s="17"/>
      <c r="E251" s="18"/>
      <c r="F251" s="22"/>
      <c r="G251" s="22"/>
      <c r="H251" s="23" t="str">
        <f aca="false">IF(F251="","",MAX(0,F251-N(G251)))</f>
        <v/>
      </c>
      <c r="I251" s="17"/>
    </row>
    <row r="252" customFormat="false" ht="15" hidden="false" customHeight="false" outlineLevel="0" collapsed="false">
      <c r="A252" s="19"/>
      <c r="B252" s="17"/>
      <c r="C252" s="17"/>
      <c r="D252" s="17"/>
      <c r="E252" s="18"/>
      <c r="F252" s="22"/>
      <c r="G252" s="22"/>
      <c r="H252" s="23" t="str">
        <f aca="false">IF(F252="","",MAX(0,F252-N(G252)))</f>
        <v/>
      </c>
      <c r="I252" s="17"/>
    </row>
    <row r="253" customFormat="false" ht="15" hidden="false" customHeight="false" outlineLevel="0" collapsed="false">
      <c r="A253" s="19"/>
      <c r="B253" s="17"/>
      <c r="C253" s="17"/>
      <c r="D253" s="17"/>
      <c r="E253" s="18"/>
      <c r="F253" s="22"/>
      <c r="G253" s="22"/>
      <c r="H253" s="23" t="str">
        <f aca="false">IF(F253="","",MAX(0,F253-N(G253)))</f>
        <v/>
      </c>
      <c r="I253" s="17"/>
    </row>
    <row r="254" customFormat="false" ht="15" hidden="false" customHeight="false" outlineLevel="0" collapsed="false">
      <c r="A254" s="19"/>
      <c r="B254" s="17"/>
      <c r="C254" s="17"/>
      <c r="D254" s="17"/>
      <c r="E254" s="18"/>
      <c r="F254" s="22"/>
      <c r="G254" s="22"/>
      <c r="H254" s="23" t="str">
        <f aca="false">IF(F254="","",MAX(0,F254-N(G254)))</f>
        <v/>
      </c>
      <c r="I254" s="17"/>
    </row>
    <row r="255" customFormat="false" ht="15" hidden="false" customHeight="false" outlineLevel="0" collapsed="false">
      <c r="A255" s="19"/>
      <c r="B255" s="17"/>
      <c r="C255" s="17"/>
      <c r="D255" s="17"/>
      <c r="E255" s="18"/>
      <c r="F255" s="22"/>
      <c r="G255" s="22"/>
      <c r="H255" s="23" t="str">
        <f aca="false">IF(F255="","",MAX(0,F255-N(G255)))</f>
        <v/>
      </c>
      <c r="I255" s="17"/>
    </row>
    <row r="256" customFormat="false" ht="15" hidden="false" customHeight="false" outlineLevel="0" collapsed="false">
      <c r="A256" s="19"/>
      <c r="B256" s="17"/>
      <c r="C256" s="17"/>
      <c r="D256" s="17"/>
      <c r="E256" s="18"/>
      <c r="F256" s="22"/>
      <c r="G256" s="22"/>
      <c r="H256" s="23" t="str">
        <f aca="false">IF(F256="","",MAX(0,F256-N(G256)))</f>
        <v/>
      </c>
      <c r="I256" s="17"/>
    </row>
    <row r="257" customFormat="false" ht="15" hidden="false" customHeight="false" outlineLevel="0" collapsed="false">
      <c r="A257" s="19"/>
      <c r="B257" s="17"/>
      <c r="C257" s="17"/>
      <c r="D257" s="17"/>
      <c r="E257" s="18"/>
      <c r="F257" s="22"/>
      <c r="G257" s="22"/>
      <c r="H257" s="23" t="str">
        <f aca="false">IF(F257="","",MAX(0,F257-N(G257)))</f>
        <v/>
      </c>
      <c r="I257" s="17"/>
    </row>
    <row r="258" customFormat="false" ht="15" hidden="false" customHeight="false" outlineLevel="0" collapsed="false">
      <c r="A258" s="19"/>
      <c r="B258" s="17"/>
      <c r="C258" s="17"/>
      <c r="D258" s="17"/>
      <c r="E258" s="18"/>
      <c r="F258" s="22"/>
      <c r="G258" s="22"/>
      <c r="H258" s="23" t="str">
        <f aca="false">IF(F258="","",MAX(0,F258-N(G258)))</f>
        <v/>
      </c>
      <c r="I258" s="17"/>
    </row>
    <row r="259" customFormat="false" ht="15" hidden="false" customHeight="false" outlineLevel="0" collapsed="false">
      <c r="A259" s="19"/>
      <c r="B259" s="17"/>
      <c r="C259" s="17"/>
      <c r="D259" s="17"/>
      <c r="E259" s="18"/>
      <c r="F259" s="22"/>
      <c r="G259" s="22"/>
      <c r="H259" s="23" t="str">
        <f aca="false">IF(F259="","",MAX(0,F259-N(G259)))</f>
        <v/>
      </c>
      <c r="I259" s="17"/>
    </row>
    <row r="260" customFormat="false" ht="15" hidden="false" customHeight="false" outlineLevel="0" collapsed="false">
      <c r="A260" s="19"/>
      <c r="B260" s="17"/>
      <c r="C260" s="17"/>
      <c r="D260" s="17"/>
      <c r="E260" s="18"/>
      <c r="F260" s="22"/>
      <c r="G260" s="22"/>
      <c r="H260" s="23" t="str">
        <f aca="false">IF(F260="","",MAX(0,F260-N(G260)))</f>
        <v/>
      </c>
      <c r="I260" s="17"/>
    </row>
    <row r="261" customFormat="false" ht="15" hidden="false" customHeight="false" outlineLevel="0" collapsed="false">
      <c r="A261" s="19"/>
      <c r="B261" s="17"/>
      <c r="C261" s="17"/>
      <c r="D261" s="17"/>
      <c r="E261" s="18"/>
      <c r="F261" s="22"/>
      <c r="G261" s="22"/>
      <c r="H261" s="23" t="str">
        <f aca="false">IF(F261="","",MAX(0,F261-N(G261)))</f>
        <v/>
      </c>
      <c r="I261" s="17"/>
    </row>
    <row r="262" customFormat="false" ht="15" hidden="false" customHeight="false" outlineLevel="0" collapsed="false">
      <c r="A262" s="19"/>
      <c r="B262" s="17"/>
      <c r="C262" s="17"/>
      <c r="D262" s="17"/>
      <c r="E262" s="18"/>
      <c r="F262" s="22"/>
      <c r="G262" s="22"/>
      <c r="H262" s="23" t="str">
        <f aca="false">IF(F262="","",MAX(0,F262-N(G262)))</f>
        <v/>
      </c>
      <c r="I262" s="17"/>
    </row>
    <row r="263" customFormat="false" ht="15" hidden="false" customHeight="false" outlineLevel="0" collapsed="false">
      <c r="A263" s="19"/>
      <c r="B263" s="17"/>
      <c r="C263" s="17"/>
      <c r="D263" s="17"/>
      <c r="E263" s="18"/>
      <c r="F263" s="22"/>
      <c r="G263" s="22"/>
      <c r="H263" s="23" t="str">
        <f aca="false">IF(F263="","",MAX(0,F263-N(G263)))</f>
        <v/>
      </c>
      <c r="I263" s="17"/>
    </row>
    <row r="264" customFormat="false" ht="15" hidden="false" customHeight="false" outlineLevel="0" collapsed="false">
      <c r="A264" s="19"/>
      <c r="B264" s="17"/>
      <c r="C264" s="17"/>
      <c r="D264" s="17"/>
      <c r="E264" s="18"/>
      <c r="F264" s="22"/>
      <c r="G264" s="22"/>
      <c r="H264" s="23" t="str">
        <f aca="false">IF(F264="","",MAX(0,F264-N(G264)))</f>
        <v/>
      </c>
      <c r="I264" s="17"/>
    </row>
    <row r="265" customFormat="false" ht="15" hidden="false" customHeight="false" outlineLevel="0" collapsed="false">
      <c r="A265" s="19"/>
      <c r="B265" s="17"/>
      <c r="C265" s="17"/>
      <c r="D265" s="17"/>
      <c r="E265" s="18"/>
      <c r="F265" s="22"/>
      <c r="G265" s="22"/>
      <c r="H265" s="23" t="str">
        <f aca="false">IF(F265="","",MAX(0,F265-N(G265)))</f>
        <v/>
      </c>
      <c r="I265" s="17"/>
    </row>
    <row r="266" customFormat="false" ht="15" hidden="false" customHeight="false" outlineLevel="0" collapsed="false">
      <c r="A266" s="19"/>
      <c r="B266" s="17"/>
      <c r="C266" s="17"/>
      <c r="D266" s="17"/>
      <c r="E266" s="18"/>
      <c r="F266" s="22"/>
      <c r="G266" s="22"/>
      <c r="H266" s="23" t="str">
        <f aca="false">IF(F266="","",MAX(0,F266-N(G266)))</f>
        <v/>
      </c>
      <c r="I266" s="17"/>
    </row>
    <row r="267" customFormat="false" ht="15" hidden="false" customHeight="false" outlineLevel="0" collapsed="false">
      <c r="A267" s="19"/>
      <c r="B267" s="17"/>
      <c r="C267" s="17"/>
      <c r="D267" s="17"/>
      <c r="E267" s="18"/>
      <c r="F267" s="22"/>
      <c r="G267" s="22"/>
      <c r="H267" s="23" t="str">
        <f aca="false">IF(F267="","",MAX(0,F267-N(G267)))</f>
        <v/>
      </c>
      <c r="I267" s="17"/>
    </row>
    <row r="268" customFormat="false" ht="15" hidden="false" customHeight="false" outlineLevel="0" collapsed="false">
      <c r="A268" s="19"/>
      <c r="B268" s="17"/>
      <c r="C268" s="17"/>
      <c r="D268" s="17"/>
      <c r="E268" s="18"/>
      <c r="F268" s="22"/>
      <c r="G268" s="22"/>
      <c r="H268" s="23" t="str">
        <f aca="false">IF(F268="","",MAX(0,F268-N(G268)))</f>
        <v/>
      </c>
      <c r="I268" s="17"/>
    </row>
    <row r="269" customFormat="false" ht="15" hidden="false" customHeight="false" outlineLevel="0" collapsed="false">
      <c r="A269" s="19"/>
      <c r="B269" s="17"/>
      <c r="C269" s="17"/>
      <c r="D269" s="17"/>
      <c r="E269" s="18"/>
      <c r="F269" s="22"/>
      <c r="G269" s="22"/>
      <c r="H269" s="23" t="str">
        <f aca="false">IF(F269="","",MAX(0,F269-N(G269)))</f>
        <v/>
      </c>
      <c r="I269" s="17"/>
    </row>
    <row r="270" customFormat="false" ht="15" hidden="false" customHeight="false" outlineLevel="0" collapsed="false">
      <c r="A270" s="19"/>
      <c r="B270" s="17"/>
      <c r="C270" s="17"/>
      <c r="D270" s="17"/>
      <c r="E270" s="18"/>
      <c r="F270" s="22"/>
      <c r="G270" s="22"/>
      <c r="H270" s="23" t="str">
        <f aca="false">IF(F270="","",MAX(0,F270-N(G270)))</f>
        <v/>
      </c>
      <c r="I270" s="17"/>
    </row>
    <row r="271" customFormat="false" ht="15" hidden="false" customHeight="false" outlineLevel="0" collapsed="false">
      <c r="A271" s="19"/>
      <c r="B271" s="17"/>
      <c r="C271" s="17"/>
      <c r="D271" s="17"/>
      <c r="E271" s="18"/>
      <c r="F271" s="22"/>
      <c r="G271" s="22"/>
      <c r="H271" s="23" t="str">
        <f aca="false">IF(F271="","",MAX(0,F271-N(G271)))</f>
        <v/>
      </c>
      <c r="I271" s="17"/>
    </row>
    <row r="272" customFormat="false" ht="15" hidden="false" customHeight="false" outlineLevel="0" collapsed="false">
      <c r="A272" s="19"/>
      <c r="B272" s="17"/>
      <c r="C272" s="17"/>
      <c r="D272" s="17"/>
      <c r="E272" s="18"/>
      <c r="F272" s="22"/>
      <c r="G272" s="22"/>
      <c r="H272" s="23" t="str">
        <f aca="false">IF(F272="","",MAX(0,F272-N(G272)))</f>
        <v/>
      </c>
      <c r="I272" s="17"/>
    </row>
    <row r="273" customFormat="false" ht="15" hidden="false" customHeight="false" outlineLevel="0" collapsed="false">
      <c r="A273" s="19"/>
      <c r="B273" s="17"/>
      <c r="C273" s="17"/>
      <c r="D273" s="17"/>
      <c r="E273" s="18"/>
      <c r="F273" s="22"/>
      <c r="G273" s="22"/>
      <c r="H273" s="23" t="str">
        <f aca="false">IF(F273="","",MAX(0,F273-N(G273)))</f>
        <v/>
      </c>
      <c r="I273" s="17"/>
    </row>
    <row r="274" customFormat="false" ht="15" hidden="false" customHeight="false" outlineLevel="0" collapsed="false">
      <c r="A274" s="19"/>
      <c r="B274" s="17"/>
      <c r="C274" s="17"/>
      <c r="D274" s="17"/>
      <c r="E274" s="18"/>
      <c r="F274" s="22"/>
      <c r="G274" s="22"/>
      <c r="H274" s="23" t="str">
        <f aca="false">IF(F274="","",MAX(0,F274-N(G274)))</f>
        <v/>
      </c>
      <c r="I274" s="17"/>
    </row>
    <row r="275" customFormat="false" ht="15" hidden="false" customHeight="false" outlineLevel="0" collapsed="false">
      <c r="A275" s="19"/>
      <c r="B275" s="17"/>
      <c r="C275" s="17"/>
      <c r="D275" s="17"/>
      <c r="E275" s="18"/>
      <c r="F275" s="22"/>
      <c r="G275" s="22"/>
      <c r="H275" s="23" t="str">
        <f aca="false">IF(F275="","",MAX(0,F275-N(G275)))</f>
        <v/>
      </c>
      <c r="I275" s="17"/>
    </row>
    <row r="276" customFormat="false" ht="15" hidden="false" customHeight="false" outlineLevel="0" collapsed="false">
      <c r="A276" s="19"/>
      <c r="B276" s="17"/>
      <c r="C276" s="17"/>
      <c r="D276" s="17"/>
      <c r="E276" s="18"/>
      <c r="F276" s="22"/>
      <c r="G276" s="22"/>
      <c r="H276" s="23" t="str">
        <f aca="false">IF(F276="","",MAX(0,F276-N(G276)))</f>
        <v/>
      </c>
      <c r="I276" s="17"/>
    </row>
    <row r="277" customFormat="false" ht="15" hidden="false" customHeight="false" outlineLevel="0" collapsed="false">
      <c r="A277" s="19"/>
      <c r="B277" s="17"/>
      <c r="C277" s="17"/>
      <c r="D277" s="17"/>
      <c r="E277" s="18"/>
      <c r="F277" s="22"/>
      <c r="G277" s="22"/>
      <c r="H277" s="23" t="str">
        <f aca="false">IF(F277="","",MAX(0,F277-N(G277)))</f>
        <v/>
      </c>
      <c r="I277" s="17"/>
    </row>
    <row r="278" customFormat="false" ht="15" hidden="false" customHeight="false" outlineLevel="0" collapsed="false">
      <c r="A278" s="19"/>
      <c r="B278" s="17"/>
      <c r="C278" s="17"/>
      <c r="D278" s="17"/>
      <c r="E278" s="18"/>
      <c r="F278" s="22"/>
      <c r="G278" s="22"/>
      <c r="H278" s="23" t="str">
        <f aca="false">IF(F278="","",MAX(0,F278-N(G278)))</f>
        <v/>
      </c>
      <c r="I278" s="17"/>
    </row>
    <row r="279" customFormat="false" ht="15" hidden="false" customHeight="false" outlineLevel="0" collapsed="false">
      <c r="A279" s="19"/>
      <c r="B279" s="17"/>
      <c r="C279" s="17"/>
      <c r="D279" s="17"/>
      <c r="E279" s="18"/>
      <c r="F279" s="22"/>
      <c r="G279" s="22"/>
      <c r="H279" s="23" t="str">
        <f aca="false">IF(F279="","",MAX(0,F279-N(G279)))</f>
        <v/>
      </c>
      <c r="I279" s="17"/>
    </row>
    <row r="280" customFormat="false" ht="15" hidden="false" customHeight="false" outlineLevel="0" collapsed="false">
      <c r="A280" s="19"/>
      <c r="B280" s="17"/>
      <c r="C280" s="17"/>
      <c r="D280" s="17"/>
      <c r="E280" s="18"/>
      <c r="F280" s="22"/>
      <c r="G280" s="22"/>
      <c r="H280" s="23" t="str">
        <f aca="false">IF(F280="","",MAX(0,F280-N(G280)))</f>
        <v/>
      </c>
      <c r="I280" s="17"/>
    </row>
    <row r="281" customFormat="false" ht="15" hidden="false" customHeight="false" outlineLevel="0" collapsed="false">
      <c r="A281" s="19"/>
      <c r="B281" s="17"/>
      <c r="C281" s="17"/>
      <c r="D281" s="17"/>
      <c r="E281" s="18"/>
      <c r="F281" s="22"/>
      <c r="G281" s="22"/>
      <c r="H281" s="23" t="str">
        <f aca="false">IF(F281="","",MAX(0,F281-N(G281)))</f>
        <v/>
      </c>
      <c r="I281" s="17"/>
    </row>
    <row r="282" customFormat="false" ht="15" hidden="false" customHeight="false" outlineLevel="0" collapsed="false">
      <c r="A282" s="19"/>
      <c r="B282" s="17"/>
      <c r="C282" s="17"/>
      <c r="D282" s="17"/>
      <c r="E282" s="18"/>
      <c r="F282" s="22"/>
      <c r="G282" s="22"/>
      <c r="H282" s="23" t="str">
        <f aca="false">IF(F282="","",MAX(0,F282-N(G282)))</f>
        <v/>
      </c>
      <c r="I282" s="17"/>
    </row>
    <row r="283" customFormat="false" ht="15" hidden="false" customHeight="false" outlineLevel="0" collapsed="false">
      <c r="A283" s="19"/>
      <c r="B283" s="17"/>
      <c r="C283" s="17"/>
      <c r="D283" s="17"/>
      <c r="E283" s="18"/>
      <c r="F283" s="22"/>
      <c r="G283" s="22"/>
      <c r="H283" s="23" t="str">
        <f aca="false">IF(F283="","",MAX(0,F283-N(G283)))</f>
        <v/>
      </c>
      <c r="I283" s="17"/>
    </row>
    <row r="284" customFormat="false" ht="15" hidden="false" customHeight="false" outlineLevel="0" collapsed="false">
      <c r="A284" s="19"/>
      <c r="B284" s="17"/>
      <c r="C284" s="17"/>
      <c r="D284" s="17"/>
      <c r="E284" s="18"/>
      <c r="F284" s="22"/>
      <c r="G284" s="22"/>
      <c r="H284" s="23" t="str">
        <f aca="false">IF(F284="","",MAX(0,F284-N(G284)))</f>
        <v/>
      </c>
      <c r="I284" s="17"/>
    </row>
    <row r="285" customFormat="false" ht="15" hidden="false" customHeight="false" outlineLevel="0" collapsed="false">
      <c r="A285" s="19"/>
      <c r="B285" s="17"/>
      <c r="C285" s="17"/>
      <c r="D285" s="17"/>
      <c r="E285" s="18"/>
      <c r="F285" s="22"/>
      <c r="G285" s="22"/>
      <c r="H285" s="23" t="str">
        <f aca="false">IF(F285="","",MAX(0,F285-N(G285)))</f>
        <v/>
      </c>
      <c r="I285" s="17"/>
    </row>
    <row r="286" customFormat="false" ht="15" hidden="false" customHeight="false" outlineLevel="0" collapsed="false">
      <c r="A286" s="19"/>
      <c r="B286" s="17"/>
      <c r="C286" s="17"/>
      <c r="D286" s="17"/>
      <c r="E286" s="18"/>
      <c r="F286" s="22"/>
      <c r="G286" s="22"/>
      <c r="H286" s="23" t="str">
        <f aca="false">IF(F286="","",MAX(0,F286-N(G286)))</f>
        <v/>
      </c>
      <c r="I286" s="17"/>
    </row>
    <row r="287" customFormat="false" ht="15" hidden="false" customHeight="false" outlineLevel="0" collapsed="false">
      <c r="A287" s="19"/>
      <c r="B287" s="17"/>
      <c r="C287" s="17"/>
      <c r="D287" s="17"/>
      <c r="E287" s="18"/>
      <c r="F287" s="22"/>
      <c r="G287" s="22"/>
      <c r="H287" s="23" t="str">
        <f aca="false">IF(F287="","",MAX(0,F287-N(G287)))</f>
        <v/>
      </c>
      <c r="I287" s="17"/>
    </row>
    <row r="288" customFormat="false" ht="15" hidden="false" customHeight="false" outlineLevel="0" collapsed="false">
      <c r="A288" s="19"/>
      <c r="B288" s="17"/>
      <c r="C288" s="17"/>
      <c r="D288" s="17"/>
      <c r="E288" s="18"/>
      <c r="F288" s="22"/>
      <c r="G288" s="22"/>
      <c r="H288" s="23" t="str">
        <f aca="false">IF(F288="","",MAX(0,F288-N(G288)))</f>
        <v/>
      </c>
      <c r="I288" s="17"/>
    </row>
    <row r="289" customFormat="false" ht="15" hidden="false" customHeight="false" outlineLevel="0" collapsed="false">
      <c r="A289" s="19"/>
      <c r="B289" s="17"/>
      <c r="C289" s="17"/>
      <c r="D289" s="17"/>
      <c r="E289" s="18"/>
      <c r="F289" s="22"/>
      <c r="G289" s="22"/>
      <c r="H289" s="23" t="str">
        <f aca="false">IF(F289="","",MAX(0,F289-N(G289)))</f>
        <v/>
      </c>
      <c r="I289" s="17"/>
    </row>
    <row r="290" customFormat="false" ht="15" hidden="false" customHeight="false" outlineLevel="0" collapsed="false">
      <c r="A290" s="19"/>
      <c r="B290" s="17"/>
      <c r="C290" s="17"/>
      <c r="D290" s="17"/>
      <c r="E290" s="18"/>
      <c r="F290" s="22"/>
      <c r="G290" s="22"/>
      <c r="H290" s="23" t="str">
        <f aca="false">IF(F290="","",MAX(0,F290-N(G290)))</f>
        <v/>
      </c>
      <c r="I290" s="17"/>
    </row>
    <row r="291" customFormat="false" ht="15" hidden="false" customHeight="false" outlineLevel="0" collapsed="false">
      <c r="A291" s="19"/>
      <c r="B291" s="17"/>
      <c r="C291" s="17"/>
      <c r="D291" s="17"/>
      <c r="E291" s="18"/>
      <c r="F291" s="22"/>
      <c r="G291" s="22"/>
      <c r="H291" s="23" t="str">
        <f aca="false">IF(F291="","",MAX(0,F291-N(G291)))</f>
        <v/>
      </c>
      <c r="I291" s="17"/>
    </row>
    <row r="292" customFormat="false" ht="15" hidden="false" customHeight="false" outlineLevel="0" collapsed="false">
      <c r="A292" s="19"/>
      <c r="B292" s="17"/>
      <c r="C292" s="17"/>
      <c r="D292" s="17"/>
      <c r="E292" s="18"/>
      <c r="F292" s="22"/>
      <c r="G292" s="22"/>
      <c r="H292" s="23" t="str">
        <f aca="false">IF(F292="","",MAX(0,F292-N(G292)))</f>
        <v/>
      </c>
      <c r="I292" s="17"/>
    </row>
    <row r="293" customFormat="false" ht="15" hidden="false" customHeight="false" outlineLevel="0" collapsed="false">
      <c r="A293" s="19"/>
      <c r="B293" s="17"/>
      <c r="C293" s="17"/>
      <c r="D293" s="17"/>
      <c r="E293" s="18"/>
      <c r="F293" s="22"/>
      <c r="G293" s="22"/>
      <c r="H293" s="23" t="str">
        <f aca="false">IF(F293="","",MAX(0,F293-N(G293)))</f>
        <v/>
      </c>
      <c r="I293" s="17"/>
    </row>
    <row r="294" customFormat="false" ht="15" hidden="false" customHeight="false" outlineLevel="0" collapsed="false">
      <c r="A294" s="19"/>
      <c r="B294" s="17"/>
      <c r="C294" s="17"/>
      <c r="D294" s="17"/>
      <c r="E294" s="18"/>
      <c r="F294" s="22"/>
      <c r="G294" s="22"/>
      <c r="H294" s="23" t="str">
        <f aca="false">IF(F294="","",MAX(0,F294-N(G294)))</f>
        <v/>
      </c>
      <c r="I294" s="17"/>
    </row>
    <row r="295" customFormat="false" ht="15" hidden="false" customHeight="false" outlineLevel="0" collapsed="false">
      <c r="A295" s="19"/>
      <c r="B295" s="17"/>
      <c r="C295" s="17"/>
      <c r="D295" s="17"/>
      <c r="E295" s="18"/>
      <c r="F295" s="22"/>
      <c r="G295" s="22"/>
      <c r="H295" s="23" t="str">
        <f aca="false">IF(F295="","",MAX(0,F295-N(G295)))</f>
        <v/>
      </c>
      <c r="I295" s="17"/>
    </row>
    <row r="296" customFormat="false" ht="15" hidden="false" customHeight="false" outlineLevel="0" collapsed="false">
      <c r="A296" s="19"/>
      <c r="B296" s="17"/>
      <c r="C296" s="17"/>
      <c r="D296" s="17"/>
      <c r="E296" s="18"/>
      <c r="F296" s="22"/>
      <c r="G296" s="22"/>
      <c r="H296" s="23" t="str">
        <f aca="false">IF(F296="","",MAX(0,F296-N(G296)))</f>
        <v/>
      </c>
      <c r="I296" s="17"/>
    </row>
    <row r="297" customFormat="false" ht="15" hidden="false" customHeight="false" outlineLevel="0" collapsed="false">
      <c r="A297" s="19"/>
      <c r="B297" s="17"/>
      <c r="C297" s="17"/>
      <c r="D297" s="17"/>
      <c r="E297" s="18"/>
      <c r="F297" s="22"/>
      <c r="G297" s="22"/>
      <c r="H297" s="23" t="str">
        <f aca="false">IF(F297="","",MAX(0,F297-N(G297)))</f>
        <v/>
      </c>
      <c r="I297" s="17"/>
    </row>
    <row r="298" customFormat="false" ht="15" hidden="false" customHeight="false" outlineLevel="0" collapsed="false">
      <c r="A298" s="19"/>
      <c r="B298" s="17"/>
      <c r="C298" s="17"/>
      <c r="D298" s="17"/>
      <c r="E298" s="18"/>
      <c r="F298" s="22"/>
      <c r="G298" s="22"/>
      <c r="H298" s="23" t="str">
        <f aca="false">IF(F298="","",MAX(0,F298-N(G298)))</f>
        <v/>
      </c>
      <c r="I298" s="17"/>
    </row>
    <row r="299" customFormat="false" ht="15" hidden="false" customHeight="false" outlineLevel="0" collapsed="false">
      <c r="A299" s="19"/>
      <c r="B299" s="17"/>
      <c r="C299" s="17"/>
      <c r="D299" s="17"/>
      <c r="E299" s="18"/>
      <c r="F299" s="22"/>
      <c r="G299" s="22"/>
      <c r="H299" s="23" t="str">
        <f aca="false">IF(F299="","",MAX(0,F299-N(G299)))</f>
        <v/>
      </c>
      <c r="I299" s="17"/>
    </row>
    <row r="300" customFormat="false" ht="15" hidden="false" customHeight="false" outlineLevel="0" collapsed="false">
      <c r="A300" s="19"/>
      <c r="B300" s="17"/>
      <c r="C300" s="17"/>
      <c r="D300" s="17"/>
      <c r="E300" s="18"/>
      <c r="F300" s="22"/>
      <c r="G300" s="22"/>
      <c r="H300" s="23" t="str">
        <f aca="false">IF(F300="","",MAX(0,F300-N(G300)))</f>
        <v/>
      </c>
      <c r="I300" s="17"/>
    </row>
    <row r="301" customFormat="false" ht="15" hidden="false" customHeight="false" outlineLevel="0" collapsed="false">
      <c r="A301" s="19"/>
      <c r="B301" s="17"/>
      <c r="C301" s="17"/>
      <c r="D301" s="17"/>
      <c r="E301" s="18"/>
      <c r="F301" s="22"/>
      <c r="G301" s="22"/>
      <c r="H301" s="23" t="str">
        <f aca="false">IF(F301="","",MAX(0,F301-N(G301)))</f>
        <v/>
      </c>
      <c r="I301" s="17"/>
    </row>
    <row r="302" customFormat="false" ht="15" hidden="false" customHeight="false" outlineLevel="0" collapsed="false">
      <c r="A302" s="19"/>
      <c r="B302" s="17"/>
      <c r="C302" s="17"/>
      <c r="D302" s="17"/>
      <c r="E302" s="18"/>
      <c r="F302" s="22"/>
      <c r="G302" s="22"/>
      <c r="H302" s="23" t="str">
        <f aca="false">IF(F302="","",MAX(0,F302-N(G302)))</f>
        <v/>
      </c>
      <c r="I302" s="17"/>
    </row>
    <row r="303" customFormat="false" ht="15" hidden="false" customHeight="false" outlineLevel="0" collapsed="false">
      <c r="A303" s="19"/>
      <c r="B303" s="17"/>
      <c r="C303" s="17"/>
      <c r="D303" s="17"/>
      <c r="E303" s="18"/>
      <c r="F303" s="22"/>
      <c r="G303" s="22"/>
      <c r="H303" s="23" t="str">
        <f aca="false">IF(F303="","",MAX(0,F303-N(G303)))</f>
        <v/>
      </c>
      <c r="I303" s="17"/>
    </row>
    <row r="304" customFormat="false" ht="15" hidden="false" customHeight="false" outlineLevel="0" collapsed="false">
      <c r="A304" s="19"/>
      <c r="B304" s="17"/>
      <c r="C304" s="17"/>
      <c r="D304" s="17"/>
      <c r="E304" s="18"/>
      <c r="F304" s="22"/>
      <c r="G304" s="22"/>
      <c r="H304" s="23" t="str">
        <f aca="false">IF(F304="","",MAX(0,F304-N(G304)))</f>
        <v/>
      </c>
      <c r="I304" s="17"/>
    </row>
    <row r="305" customFormat="false" ht="15" hidden="false" customHeight="false" outlineLevel="0" collapsed="false">
      <c r="A305" s="19"/>
      <c r="B305" s="17"/>
      <c r="C305" s="17"/>
      <c r="D305" s="17"/>
      <c r="E305" s="18"/>
      <c r="F305" s="22"/>
      <c r="G305" s="22"/>
      <c r="H305" s="23" t="str">
        <f aca="false">IF(F305="","",MAX(0,F305-N(G305)))</f>
        <v/>
      </c>
      <c r="I305" s="17"/>
    </row>
    <row r="306" customFormat="false" ht="15" hidden="false" customHeight="false" outlineLevel="0" collapsed="false">
      <c r="A306" s="19"/>
      <c r="B306" s="17"/>
      <c r="C306" s="17"/>
      <c r="D306" s="17"/>
      <c r="E306" s="18"/>
      <c r="F306" s="22"/>
      <c r="G306" s="22"/>
      <c r="H306" s="23" t="str">
        <f aca="false">IF(F306="","",MAX(0,F306-N(G306)))</f>
        <v/>
      </c>
      <c r="I306" s="17"/>
    </row>
    <row r="307" customFormat="false" ht="15" hidden="false" customHeight="false" outlineLevel="0" collapsed="false">
      <c r="A307" s="19"/>
      <c r="B307" s="17"/>
      <c r="C307" s="17"/>
      <c r="D307" s="17"/>
      <c r="E307" s="18"/>
      <c r="F307" s="22"/>
      <c r="G307" s="22"/>
      <c r="H307" s="23" t="str">
        <f aca="false">IF(F307="","",MAX(0,F307-N(G307)))</f>
        <v/>
      </c>
      <c r="I307" s="17"/>
    </row>
    <row r="308" customFormat="false" ht="15" hidden="false" customHeight="false" outlineLevel="0" collapsed="false">
      <c r="A308" s="19"/>
      <c r="B308" s="17"/>
      <c r="C308" s="17"/>
      <c r="D308" s="17"/>
      <c r="E308" s="18"/>
      <c r="F308" s="22"/>
      <c r="G308" s="22"/>
      <c r="H308" s="23" t="str">
        <f aca="false">IF(F308="","",MAX(0,F308-N(G308)))</f>
        <v/>
      </c>
      <c r="I308" s="17"/>
    </row>
    <row r="309" customFormat="false" ht="15" hidden="false" customHeight="false" outlineLevel="0" collapsed="false">
      <c r="A309" s="19"/>
      <c r="B309" s="17"/>
      <c r="C309" s="17"/>
      <c r="D309" s="17"/>
      <c r="E309" s="18"/>
      <c r="F309" s="22"/>
      <c r="G309" s="22"/>
      <c r="H309" s="23" t="str">
        <f aca="false">IF(F309="","",MAX(0,F309-N(G309)))</f>
        <v/>
      </c>
      <c r="I309" s="17"/>
    </row>
    <row r="310" customFormat="false" ht="15" hidden="false" customHeight="false" outlineLevel="0" collapsed="false">
      <c r="A310" s="19"/>
      <c r="B310" s="17"/>
      <c r="C310" s="17"/>
      <c r="D310" s="17"/>
      <c r="E310" s="18"/>
      <c r="F310" s="22"/>
      <c r="G310" s="22"/>
      <c r="H310" s="23" t="str">
        <f aca="false">IF(F310="","",MAX(0,F310-N(G310)))</f>
        <v/>
      </c>
      <c r="I310" s="17"/>
    </row>
    <row r="311" customFormat="false" ht="15" hidden="false" customHeight="false" outlineLevel="0" collapsed="false">
      <c r="A311" s="19"/>
      <c r="B311" s="17"/>
      <c r="C311" s="17"/>
      <c r="D311" s="17"/>
      <c r="E311" s="18"/>
      <c r="F311" s="22"/>
      <c r="G311" s="22"/>
      <c r="H311" s="23" t="str">
        <f aca="false">IF(F311="","",MAX(0,F311-N(G311)))</f>
        <v/>
      </c>
      <c r="I311" s="17"/>
    </row>
    <row r="312" customFormat="false" ht="15" hidden="false" customHeight="false" outlineLevel="0" collapsed="false">
      <c r="A312" s="19"/>
      <c r="B312" s="17"/>
      <c r="C312" s="17"/>
      <c r="D312" s="17"/>
      <c r="E312" s="18"/>
      <c r="F312" s="22"/>
      <c r="G312" s="22"/>
      <c r="H312" s="23" t="str">
        <f aca="false">IF(F312="","",MAX(0,F312-N(G312)))</f>
        <v/>
      </c>
      <c r="I312" s="17"/>
    </row>
    <row r="313" customFormat="false" ht="15" hidden="false" customHeight="false" outlineLevel="0" collapsed="false">
      <c r="A313" s="19"/>
      <c r="B313" s="17"/>
      <c r="C313" s="17"/>
      <c r="D313" s="17"/>
      <c r="E313" s="18"/>
      <c r="F313" s="22"/>
      <c r="G313" s="22"/>
      <c r="H313" s="23" t="str">
        <f aca="false">IF(F313="","",MAX(0,F313-N(G313)))</f>
        <v/>
      </c>
      <c r="I313" s="17"/>
    </row>
    <row r="314" customFormat="false" ht="15" hidden="false" customHeight="false" outlineLevel="0" collapsed="false">
      <c r="A314" s="19"/>
      <c r="B314" s="17"/>
      <c r="C314" s="17"/>
      <c r="D314" s="17"/>
      <c r="E314" s="18"/>
      <c r="F314" s="22"/>
      <c r="G314" s="22"/>
      <c r="H314" s="23" t="str">
        <f aca="false">IF(F314="","",MAX(0,F314-N(G314)))</f>
        <v/>
      </c>
      <c r="I314" s="17"/>
    </row>
    <row r="315" customFormat="false" ht="15" hidden="false" customHeight="false" outlineLevel="0" collapsed="false">
      <c r="A315" s="19"/>
      <c r="B315" s="17"/>
      <c r="C315" s="17"/>
      <c r="D315" s="17"/>
      <c r="E315" s="18"/>
      <c r="F315" s="22"/>
      <c r="G315" s="22"/>
      <c r="H315" s="23" t="str">
        <f aca="false">IF(F315="","",MAX(0,F315-N(G315)))</f>
        <v/>
      </c>
      <c r="I315" s="17"/>
    </row>
    <row r="316" customFormat="false" ht="15" hidden="false" customHeight="false" outlineLevel="0" collapsed="false">
      <c r="A316" s="19"/>
      <c r="B316" s="17"/>
      <c r="C316" s="17"/>
      <c r="D316" s="17"/>
      <c r="E316" s="18"/>
      <c r="F316" s="22"/>
      <c r="G316" s="22"/>
      <c r="H316" s="23" t="str">
        <f aca="false">IF(F316="","",MAX(0,F316-N(G316)))</f>
        <v/>
      </c>
      <c r="I316" s="17"/>
    </row>
    <row r="317" customFormat="false" ht="15" hidden="false" customHeight="false" outlineLevel="0" collapsed="false">
      <c r="A317" s="19"/>
      <c r="B317" s="17"/>
      <c r="C317" s="17"/>
      <c r="D317" s="17"/>
      <c r="E317" s="18"/>
      <c r="F317" s="22"/>
      <c r="G317" s="22"/>
      <c r="H317" s="23" t="str">
        <f aca="false">IF(F317="","",MAX(0,F317-N(G317)))</f>
        <v/>
      </c>
      <c r="I317" s="17"/>
    </row>
    <row r="318" customFormat="false" ht="15" hidden="false" customHeight="false" outlineLevel="0" collapsed="false">
      <c r="A318" s="19"/>
      <c r="B318" s="17"/>
      <c r="C318" s="17"/>
      <c r="D318" s="17"/>
      <c r="E318" s="18"/>
      <c r="F318" s="22"/>
      <c r="G318" s="22"/>
      <c r="H318" s="23" t="str">
        <f aca="false">IF(F318="","",MAX(0,F318-N(G318)))</f>
        <v/>
      </c>
      <c r="I318" s="17"/>
    </row>
    <row r="319" customFormat="false" ht="15" hidden="false" customHeight="false" outlineLevel="0" collapsed="false">
      <c r="A319" s="19"/>
      <c r="B319" s="17"/>
      <c r="C319" s="17"/>
      <c r="D319" s="17"/>
      <c r="E319" s="18"/>
      <c r="F319" s="22"/>
      <c r="G319" s="22"/>
      <c r="H319" s="23" t="str">
        <f aca="false">IF(F319="","",MAX(0,F319-N(G319)))</f>
        <v/>
      </c>
      <c r="I319" s="17"/>
    </row>
    <row r="320" customFormat="false" ht="15" hidden="false" customHeight="false" outlineLevel="0" collapsed="false">
      <c r="A320" s="19"/>
      <c r="B320" s="17"/>
      <c r="C320" s="17"/>
      <c r="D320" s="17"/>
      <c r="E320" s="18"/>
      <c r="F320" s="22"/>
      <c r="G320" s="22"/>
      <c r="H320" s="23" t="str">
        <f aca="false">IF(F320="","",MAX(0,F320-N(G320)))</f>
        <v/>
      </c>
      <c r="I320" s="17"/>
    </row>
    <row r="321" customFormat="false" ht="15" hidden="false" customHeight="false" outlineLevel="0" collapsed="false">
      <c r="A321" s="19"/>
      <c r="B321" s="17"/>
      <c r="C321" s="17"/>
      <c r="D321" s="17"/>
      <c r="E321" s="18"/>
      <c r="F321" s="22"/>
      <c r="G321" s="22"/>
      <c r="H321" s="23" t="str">
        <f aca="false">IF(F321="","",MAX(0,F321-N(G321)))</f>
        <v/>
      </c>
      <c r="I321" s="17"/>
    </row>
    <row r="322" customFormat="false" ht="15" hidden="false" customHeight="false" outlineLevel="0" collapsed="false">
      <c r="A322" s="19"/>
      <c r="B322" s="17"/>
      <c r="C322" s="17"/>
      <c r="D322" s="17"/>
      <c r="E322" s="18"/>
      <c r="F322" s="22"/>
      <c r="G322" s="22"/>
      <c r="H322" s="23" t="str">
        <f aca="false">IF(F322="","",MAX(0,F322-N(G322)))</f>
        <v/>
      </c>
      <c r="I322" s="17"/>
    </row>
    <row r="323" customFormat="false" ht="15" hidden="false" customHeight="false" outlineLevel="0" collapsed="false">
      <c r="A323" s="19"/>
      <c r="B323" s="17"/>
      <c r="C323" s="17"/>
      <c r="D323" s="17"/>
      <c r="E323" s="18"/>
      <c r="F323" s="22"/>
      <c r="G323" s="22"/>
      <c r="H323" s="23" t="str">
        <f aca="false">IF(F323="","",MAX(0,F323-N(G323)))</f>
        <v/>
      </c>
      <c r="I323" s="17"/>
    </row>
    <row r="324" customFormat="false" ht="15" hidden="false" customHeight="false" outlineLevel="0" collapsed="false">
      <c r="A324" s="19"/>
      <c r="B324" s="17"/>
      <c r="C324" s="17"/>
      <c r="D324" s="17"/>
      <c r="E324" s="18"/>
      <c r="F324" s="22"/>
      <c r="G324" s="22"/>
      <c r="H324" s="23" t="str">
        <f aca="false">IF(F324="","",MAX(0,F324-N(G324)))</f>
        <v/>
      </c>
      <c r="I324" s="17"/>
    </row>
    <row r="325" customFormat="false" ht="15" hidden="false" customHeight="false" outlineLevel="0" collapsed="false">
      <c r="A325" s="19"/>
      <c r="B325" s="17"/>
      <c r="C325" s="17"/>
      <c r="D325" s="17"/>
      <c r="E325" s="18"/>
      <c r="F325" s="22"/>
      <c r="G325" s="22"/>
      <c r="H325" s="23" t="str">
        <f aca="false">IF(F325="","",MAX(0,F325-N(G325)))</f>
        <v/>
      </c>
      <c r="I325" s="17"/>
    </row>
    <row r="326" customFormat="false" ht="15" hidden="false" customHeight="false" outlineLevel="0" collapsed="false">
      <c r="A326" s="19"/>
      <c r="B326" s="17"/>
      <c r="C326" s="17"/>
      <c r="D326" s="17"/>
      <c r="E326" s="18"/>
      <c r="F326" s="22"/>
      <c r="G326" s="22"/>
      <c r="H326" s="23" t="str">
        <f aca="false">IF(F326="","",MAX(0,F326-N(G326)))</f>
        <v/>
      </c>
      <c r="I326" s="17"/>
    </row>
    <row r="327" customFormat="false" ht="15" hidden="false" customHeight="false" outlineLevel="0" collapsed="false">
      <c r="A327" s="19"/>
      <c r="B327" s="17"/>
      <c r="C327" s="17"/>
      <c r="D327" s="17"/>
      <c r="E327" s="18"/>
      <c r="F327" s="22"/>
      <c r="G327" s="22"/>
      <c r="H327" s="23" t="str">
        <f aca="false">IF(F327="","",MAX(0,F327-N(G327)))</f>
        <v/>
      </c>
      <c r="I327" s="17"/>
    </row>
    <row r="328" customFormat="false" ht="15" hidden="false" customHeight="false" outlineLevel="0" collapsed="false">
      <c r="A328" s="19"/>
      <c r="B328" s="17"/>
      <c r="C328" s="17"/>
      <c r="D328" s="17"/>
      <c r="E328" s="18"/>
      <c r="F328" s="22"/>
      <c r="G328" s="22"/>
      <c r="H328" s="23" t="str">
        <f aca="false">IF(F328="","",MAX(0,F328-N(G328)))</f>
        <v/>
      </c>
      <c r="I328" s="17"/>
    </row>
    <row r="329" customFormat="false" ht="15" hidden="false" customHeight="false" outlineLevel="0" collapsed="false">
      <c r="A329" s="19"/>
      <c r="B329" s="17"/>
      <c r="C329" s="17"/>
      <c r="D329" s="17"/>
      <c r="E329" s="18"/>
      <c r="F329" s="22"/>
      <c r="G329" s="22"/>
      <c r="H329" s="23" t="str">
        <f aca="false">IF(F329="","",MAX(0,F329-N(G329)))</f>
        <v/>
      </c>
      <c r="I329" s="17"/>
    </row>
    <row r="330" customFormat="false" ht="15" hidden="false" customHeight="false" outlineLevel="0" collapsed="false">
      <c r="A330" s="19"/>
      <c r="B330" s="17"/>
      <c r="C330" s="17"/>
      <c r="D330" s="17"/>
      <c r="E330" s="18"/>
      <c r="F330" s="22"/>
      <c r="G330" s="22"/>
      <c r="H330" s="23" t="str">
        <f aca="false">IF(F330="","",MAX(0,F330-N(G330)))</f>
        <v/>
      </c>
      <c r="I330" s="17"/>
    </row>
    <row r="331" customFormat="false" ht="15" hidden="false" customHeight="false" outlineLevel="0" collapsed="false">
      <c r="A331" s="19"/>
      <c r="B331" s="17"/>
      <c r="C331" s="17"/>
      <c r="D331" s="17"/>
      <c r="E331" s="18"/>
      <c r="F331" s="22"/>
      <c r="G331" s="22"/>
      <c r="H331" s="23" t="str">
        <f aca="false">IF(F331="","",MAX(0,F331-N(G331)))</f>
        <v/>
      </c>
      <c r="I331" s="17"/>
    </row>
    <row r="332" customFormat="false" ht="15" hidden="false" customHeight="false" outlineLevel="0" collapsed="false">
      <c r="A332" s="19"/>
      <c r="B332" s="17"/>
      <c r="C332" s="17"/>
      <c r="D332" s="17"/>
      <c r="E332" s="18"/>
      <c r="F332" s="22"/>
      <c r="G332" s="22"/>
      <c r="H332" s="23" t="str">
        <f aca="false">IF(F332="","",MAX(0,F332-N(G332)))</f>
        <v/>
      </c>
      <c r="I332" s="17"/>
    </row>
    <row r="333" customFormat="false" ht="15" hidden="false" customHeight="false" outlineLevel="0" collapsed="false">
      <c r="A333" s="19"/>
      <c r="B333" s="17"/>
      <c r="C333" s="17"/>
      <c r="D333" s="17"/>
      <c r="E333" s="18"/>
      <c r="F333" s="22"/>
      <c r="G333" s="22"/>
      <c r="H333" s="23" t="str">
        <f aca="false">IF(F333="","",MAX(0,F333-N(G333)))</f>
        <v/>
      </c>
      <c r="I333" s="17"/>
    </row>
    <row r="334" customFormat="false" ht="15" hidden="false" customHeight="false" outlineLevel="0" collapsed="false">
      <c r="A334" s="19"/>
      <c r="B334" s="17"/>
      <c r="C334" s="17"/>
      <c r="D334" s="17"/>
      <c r="E334" s="18"/>
      <c r="F334" s="22"/>
      <c r="G334" s="22"/>
      <c r="H334" s="23" t="str">
        <f aca="false">IF(F334="","",MAX(0,F334-N(G334)))</f>
        <v/>
      </c>
      <c r="I334" s="17"/>
    </row>
    <row r="335" customFormat="false" ht="15" hidden="false" customHeight="false" outlineLevel="0" collapsed="false">
      <c r="A335" s="19"/>
      <c r="B335" s="17"/>
      <c r="C335" s="17"/>
      <c r="D335" s="17"/>
      <c r="E335" s="18"/>
      <c r="F335" s="22"/>
      <c r="G335" s="22"/>
      <c r="H335" s="23" t="str">
        <f aca="false">IF(F335="","",MAX(0,F335-N(G335)))</f>
        <v/>
      </c>
      <c r="I335" s="17"/>
    </row>
    <row r="336" customFormat="false" ht="15" hidden="false" customHeight="false" outlineLevel="0" collapsed="false">
      <c r="A336" s="19"/>
      <c r="B336" s="17"/>
      <c r="C336" s="17"/>
      <c r="D336" s="17"/>
      <c r="E336" s="18"/>
      <c r="F336" s="22"/>
      <c r="G336" s="22"/>
      <c r="H336" s="23" t="str">
        <f aca="false">IF(F336="","",MAX(0,F336-N(G336)))</f>
        <v/>
      </c>
      <c r="I336" s="17"/>
    </row>
    <row r="337" customFormat="false" ht="15" hidden="false" customHeight="false" outlineLevel="0" collapsed="false">
      <c r="A337" s="19"/>
      <c r="B337" s="17"/>
      <c r="C337" s="17"/>
      <c r="D337" s="17"/>
      <c r="E337" s="18"/>
      <c r="F337" s="22"/>
      <c r="G337" s="22"/>
      <c r="H337" s="23" t="str">
        <f aca="false">IF(F337="","",MAX(0,F337-N(G337)))</f>
        <v/>
      </c>
      <c r="I337" s="17"/>
    </row>
    <row r="338" customFormat="false" ht="15" hidden="false" customHeight="false" outlineLevel="0" collapsed="false">
      <c r="A338" s="19"/>
      <c r="B338" s="17"/>
      <c r="C338" s="17"/>
      <c r="D338" s="17"/>
      <c r="E338" s="18"/>
      <c r="F338" s="22"/>
      <c r="G338" s="22"/>
      <c r="H338" s="23" t="str">
        <f aca="false">IF(F338="","",MAX(0,F338-N(G338)))</f>
        <v/>
      </c>
      <c r="I338" s="17"/>
    </row>
    <row r="339" customFormat="false" ht="15" hidden="false" customHeight="false" outlineLevel="0" collapsed="false">
      <c r="A339" s="19"/>
      <c r="B339" s="17"/>
      <c r="C339" s="17"/>
      <c r="D339" s="17"/>
      <c r="E339" s="18"/>
      <c r="F339" s="22"/>
      <c r="G339" s="22"/>
      <c r="H339" s="23" t="str">
        <f aca="false">IF(F339="","",MAX(0,F339-N(G339)))</f>
        <v/>
      </c>
      <c r="I339" s="17"/>
    </row>
    <row r="340" customFormat="false" ht="15" hidden="false" customHeight="false" outlineLevel="0" collapsed="false">
      <c r="A340" s="19"/>
      <c r="B340" s="17"/>
      <c r="C340" s="17"/>
      <c r="D340" s="17"/>
      <c r="E340" s="18"/>
      <c r="F340" s="22"/>
      <c r="G340" s="22"/>
      <c r="H340" s="23" t="str">
        <f aca="false">IF(F340="","",MAX(0,F340-N(G340)))</f>
        <v/>
      </c>
      <c r="I340" s="17"/>
    </row>
    <row r="341" customFormat="false" ht="15" hidden="false" customHeight="false" outlineLevel="0" collapsed="false">
      <c r="A341" s="19"/>
      <c r="B341" s="17"/>
      <c r="C341" s="17"/>
      <c r="D341" s="17"/>
      <c r="E341" s="18"/>
      <c r="F341" s="22"/>
      <c r="G341" s="22"/>
      <c r="H341" s="23" t="str">
        <f aca="false">IF(F341="","",MAX(0,F341-N(G341)))</f>
        <v/>
      </c>
      <c r="I341" s="17"/>
    </row>
    <row r="342" customFormat="false" ht="15" hidden="false" customHeight="false" outlineLevel="0" collapsed="false">
      <c r="A342" s="19"/>
      <c r="B342" s="17"/>
      <c r="C342" s="17"/>
      <c r="D342" s="17"/>
      <c r="E342" s="18"/>
      <c r="F342" s="22"/>
      <c r="G342" s="22"/>
      <c r="H342" s="23" t="str">
        <f aca="false">IF(F342="","",MAX(0,F342-N(G342)))</f>
        <v/>
      </c>
      <c r="I342" s="17"/>
    </row>
    <row r="343" customFormat="false" ht="15" hidden="false" customHeight="false" outlineLevel="0" collapsed="false">
      <c r="A343" s="19"/>
      <c r="B343" s="17"/>
      <c r="C343" s="17"/>
      <c r="D343" s="17"/>
      <c r="E343" s="18"/>
      <c r="F343" s="22"/>
      <c r="G343" s="22"/>
      <c r="H343" s="23" t="str">
        <f aca="false">IF(F343="","",MAX(0,F343-N(G343)))</f>
        <v/>
      </c>
      <c r="I343" s="17"/>
    </row>
    <row r="344" customFormat="false" ht="15" hidden="false" customHeight="false" outlineLevel="0" collapsed="false">
      <c r="A344" s="19"/>
      <c r="B344" s="17"/>
      <c r="C344" s="17"/>
      <c r="D344" s="17"/>
      <c r="E344" s="18"/>
      <c r="F344" s="22"/>
      <c r="G344" s="22"/>
      <c r="H344" s="23" t="str">
        <f aca="false">IF(F344="","",MAX(0,F344-N(G344)))</f>
        <v/>
      </c>
      <c r="I344" s="17"/>
    </row>
    <row r="345" customFormat="false" ht="15" hidden="false" customHeight="false" outlineLevel="0" collapsed="false">
      <c r="A345" s="19"/>
      <c r="B345" s="17"/>
      <c r="C345" s="17"/>
      <c r="D345" s="17"/>
      <c r="E345" s="18"/>
      <c r="F345" s="22"/>
      <c r="G345" s="22"/>
      <c r="H345" s="23" t="str">
        <f aca="false">IF(F345="","",MAX(0,F345-N(G345)))</f>
        <v/>
      </c>
      <c r="I345" s="17"/>
    </row>
    <row r="346" customFormat="false" ht="15" hidden="false" customHeight="false" outlineLevel="0" collapsed="false">
      <c r="A346" s="19"/>
      <c r="B346" s="17"/>
      <c r="C346" s="17"/>
      <c r="D346" s="17"/>
      <c r="E346" s="18"/>
      <c r="F346" s="22"/>
      <c r="G346" s="22"/>
      <c r="H346" s="23" t="str">
        <f aca="false">IF(F346="","",MAX(0,F346-N(G346)))</f>
        <v/>
      </c>
      <c r="I346" s="17"/>
    </row>
    <row r="347" customFormat="false" ht="15" hidden="false" customHeight="false" outlineLevel="0" collapsed="false">
      <c r="A347" s="19"/>
      <c r="B347" s="17"/>
      <c r="C347" s="17"/>
      <c r="D347" s="17"/>
      <c r="E347" s="18"/>
      <c r="F347" s="22"/>
      <c r="G347" s="22"/>
      <c r="H347" s="23" t="str">
        <f aca="false">IF(F347="","",MAX(0,F347-N(G347)))</f>
        <v/>
      </c>
      <c r="I347" s="17"/>
    </row>
    <row r="348" customFormat="false" ht="15" hidden="false" customHeight="false" outlineLevel="0" collapsed="false">
      <c r="A348" s="19"/>
      <c r="B348" s="17"/>
      <c r="C348" s="17"/>
      <c r="D348" s="17"/>
      <c r="E348" s="18"/>
      <c r="F348" s="22"/>
      <c r="G348" s="22"/>
      <c r="H348" s="23" t="str">
        <f aca="false">IF(F348="","",MAX(0,F348-N(G348)))</f>
        <v/>
      </c>
      <c r="I348" s="17"/>
    </row>
    <row r="349" customFormat="false" ht="15" hidden="false" customHeight="false" outlineLevel="0" collapsed="false">
      <c r="A349" s="19"/>
      <c r="B349" s="17"/>
      <c r="C349" s="17"/>
      <c r="D349" s="17"/>
      <c r="E349" s="18"/>
      <c r="F349" s="22"/>
      <c r="G349" s="22"/>
      <c r="H349" s="23" t="str">
        <f aca="false">IF(F349="","",MAX(0,F349-N(G349)))</f>
        <v/>
      </c>
      <c r="I349" s="17"/>
    </row>
    <row r="350" customFormat="false" ht="15" hidden="false" customHeight="false" outlineLevel="0" collapsed="false">
      <c r="A350" s="19"/>
      <c r="B350" s="17"/>
      <c r="C350" s="17"/>
      <c r="D350" s="17"/>
      <c r="E350" s="18"/>
      <c r="F350" s="22"/>
      <c r="G350" s="22"/>
      <c r="H350" s="23" t="str">
        <f aca="false">IF(F350="","",MAX(0,F350-N(G350)))</f>
        <v/>
      </c>
      <c r="I350" s="17"/>
    </row>
    <row r="351" customFormat="false" ht="15" hidden="false" customHeight="false" outlineLevel="0" collapsed="false">
      <c r="A351" s="19"/>
      <c r="B351" s="17"/>
      <c r="C351" s="17"/>
      <c r="D351" s="17"/>
      <c r="E351" s="18"/>
      <c r="F351" s="22"/>
      <c r="G351" s="22"/>
      <c r="H351" s="23" t="str">
        <f aca="false">IF(F351="","",MAX(0,F351-N(G351)))</f>
        <v/>
      </c>
      <c r="I351" s="17"/>
    </row>
    <row r="352" customFormat="false" ht="15" hidden="false" customHeight="false" outlineLevel="0" collapsed="false">
      <c r="A352" s="19"/>
      <c r="B352" s="17"/>
      <c r="C352" s="17"/>
      <c r="D352" s="17"/>
      <c r="E352" s="18"/>
      <c r="F352" s="22"/>
      <c r="G352" s="22"/>
      <c r="H352" s="23" t="str">
        <f aca="false">IF(F352="","",MAX(0,F352-N(G352)))</f>
        <v/>
      </c>
      <c r="I352" s="17"/>
    </row>
    <row r="353" customFormat="false" ht="15" hidden="false" customHeight="false" outlineLevel="0" collapsed="false">
      <c r="A353" s="19"/>
      <c r="B353" s="17"/>
      <c r="C353" s="17"/>
      <c r="D353" s="17"/>
      <c r="E353" s="18"/>
      <c r="F353" s="22"/>
      <c r="G353" s="22"/>
      <c r="H353" s="23" t="str">
        <f aca="false">IF(F353="","",MAX(0,F353-N(G353)))</f>
        <v/>
      </c>
      <c r="I353" s="17"/>
    </row>
    <row r="354" customFormat="false" ht="15" hidden="false" customHeight="false" outlineLevel="0" collapsed="false">
      <c r="A354" s="19"/>
      <c r="B354" s="17"/>
      <c r="C354" s="17"/>
      <c r="D354" s="17"/>
      <c r="E354" s="18"/>
      <c r="F354" s="22"/>
      <c r="G354" s="22"/>
      <c r="H354" s="23" t="str">
        <f aca="false">IF(F354="","",MAX(0,F354-N(G354)))</f>
        <v/>
      </c>
      <c r="I354" s="17"/>
    </row>
    <row r="355" customFormat="false" ht="15" hidden="false" customHeight="false" outlineLevel="0" collapsed="false">
      <c r="A355" s="19"/>
      <c r="B355" s="17"/>
      <c r="C355" s="17"/>
      <c r="D355" s="17"/>
      <c r="E355" s="18"/>
      <c r="F355" s="22"/>
      <c r="G355" s="22"/>
      <c r="H355" s="23" t="str">
        <f aca="false">IF(F355="","",MAX(0,F355-N(G355)))</f>
        <v/>
      </c>
      <c r="I355" s="17"/>
    </row>
    <row r="356" customFormat="false" ht="15" hidden="false" customHeight="false" outlineLevel="0" collapsed="false">
      <c r="A356" s="19"/>
      <c r="B356" s="17"/>
      <c r="C356" s="17"/>
      <c r="D356" s="17"/>
      <c r="E356" s="18"/>
      <c r="F356" s="22"/>
      <c r="G356" s="22"/>
      <c r="H356" s="23" t="str">
        <f aca="false">IF(F356="","",MAX(0,F356-N(G356)))</f>
        <v/>
      </c>
      <c r="I356" s="17"/>
    </row>
    <row r="357" customFormat="false" ht="15" hidden="false" customHeight="false" outlineLevel="0" collapsed="false">
      <c r="A357" s="19"/>
      <c r="B357" s="17"/>
      <c r="C357" s="17"/>
      <c r="D357" s="17"/>
      <c r="E357" s="18"/>
      <c r="F357" s="22"/>
      <c r="G357" s="22"/>
      <c r="H357" s="23" t="str">
        <f aca="false">IF(F357="","",MAX(0,F357-N(G357)))</f>
        <v/>
      </c>
      <c r="I357" s="17"/>
    </row>
    <row r="358" customFormat="false" ht="15" hidden="false" customHeight="false" outlineLevel="0" collapsed="false">
      <c r="A358" s="19"/>
      <c r="B358" s="17"/>
      <c r="C358" s="17"/>
      <c r="D358" s="17"/>
      <c r="E358" s="18"/>
      <c r="F358" s="22"/>
      <c r="G358" s="22"/>
      <c r="H358" s="23" t="str">
        <f aca="false">IF(F358="","",MAX(0,F358-N(G358)))</f>
        <v/>
      </c>
      <c r="I358" s="17"/>
    </row>
    <row r="359" customFormat="false" ht="15" hidden="false" customHeight="false" outlineLevel="0" collapsed="false">
      <c r="A359" s="19"/>
      <c r="B359" s="17"/>
      <c r="C359" s="17"/>
      <c r="D359" s="17"/>
      <c r="E359" s="18"/>
      <c r="F359" s="22"/>
      <c r="G359" s="22"/>
      <c r="H359" s="23" t="str">
        <f aca="false">IF(F359="","",MAX(0,F359-N(G359)))</f>
        <v/>
      </c>
      <c r="I359" s="17"/>
    </row>
    <row r="360" customFormat="false" ht="15" hidden="false" customHeight="false" outlineLevel="0" collapsed="false">
      <c r="A360" s="19"/>
      <c r="B360" s="17"/>
      <c r="C360" s="17"/>
      <c r="D360" s="17"/>
      <c r="E360" s="18"/>
      <c r="F360" s="22"/>
      <c r="G360" s="22"/>
      <c r="H360" s="23" t="str">
        <f aca="false">IF(F360="","",MAX(0,F360-N(G360)))</f>
        <v/>
      </c>
      <c r="I360" s="17"/>
    </row>
    <row r="361" customFormat="false" ht="15" hidden="false" customHeight="false" outlineLevel="0" collapsed="false">
      <c r="A361" s="19"/>
      <c r="B361" s="17"/>
      <c r="C361" s="17"/>
      <c r="D361" s="17"/>
      <c r="E361" s="18"/>
      <c r="F361" s="22"/>
      <c r="G361" s="22"/>
      <c r="H361" s="23" t="str">
        <f aca="false">IF(F361="","",MAX(0,F361-N(G361)))</f>
        <v/>
      </c>
      <c r="I361" s="17"/>
    </row>
    <row r="362" customFormat="false" ht="15" hidden="false" customHeight="false" outlineLevel="0" collapsed="false">
      <c r="A362" s="19"/>
      <c r="B362" s="17"/>
      <c r="C362" s="17"/>
      <c r="D362" s="17"/>
      <c r="E362" s="18"/>
      <c r="F362" s="22"/>
      <c r="G362" s="22"/>
      <c r="H362" s="23" t="str">
        <f aca="false">IF(F362="","",MAX(0,F362-N(G362)))</f>
        <v/>
      </c>
      <c r="I362" s="17"/>
    </row>
    <row r="363" customFormat="false" ht="15" hidden="false" customHeight="false" outlineLevel="0" collapsed="false">
      <c r="A363" s="19"/>
      <c r="B363" s="17"/>
      <c r="C363" s="17"/>
      <c r="D363" s="17"/>
      <c r="E363" s="18"/>
      <c r="F363" s="22"/>
      <c r="G363" s="22"/>
      <c r="H363" s="23" t="str">
        <f aca="false">IF(F363="","",MAX(0,F363-N(G363)))</f>
        <v/>
      </c>
      <c r="I363" s="17"/>
    </row>
    <row r="364" customFormat="false" ht="15" hidden="false" customHeight="false" outlineLevel="0" collapsed="false">
      <c r="A364" s="19"/>
      <c r="B364" s="17"/>
      <c r="C364" s="17"/>
      <c r="D364" s="17"/>
      <c r="E364" s="18"/>
      <c r="F364" s="22"/>
      <c r="G364" s="22"/>
      <c r="H364" s="23" t="str">
        <f aca="false">IF(F364="","",MAX(0,F364-N(G364)))</f>
        <v/>
      </c>
      <c r="I364" s="17"/>
    </row>
    <row r="365" customFormat="false" ht="15" hidden="false" customHeight="false" outlineLevel="0" collapsed="false">
      <c r="A365" s="19"/>
      <c r="B365" s="17"/>
      <c r="C365" s="17"/>
      <c r="D365" s="17"/>
      <c r="E365" s="18"/>
      <c r="F365" s="22"/>
      <c r="G365" s="22"/>
      <c r="H365" s="23" t="str">
        <f aca="false">IF(F365="","",MAX(0,F365-N(G365)))</f>
        <v/>
      </c>
      <c r="I365" s="17"/>
    </row>
    <row r="366" customFormat="false" ht="15" hidden="false" customHeight="false" outlineLevel="0" collapsed="false">
      <c r="A366" s="19"/>
      <c r="B366" s="17"/>
      <c r="C366" s="17"/>
      <c r="D366" s="17"/>
      <c r="E366" s="18"/>
      <c r="F366" s="22"/>
      <c r="G366" s="22"/>
      <c r="H366" s="23" t="str">
        <f aca="false">IF(F366="","",MAX(0,F366-N(G366)))</f>
        <v/>
      </c>
      <c r="I366" s="17"/>
    </row>
    <row r="367" customFormat="false" ht="15" hidden="false" customHeight="false" outlineLevel="0" collapsed="false">
      <c r="A367" s="19"/>
      <c r="B367" s="17"/>
      <c r="C367" s="17"/>
      <c r="D367" s="17"/>
      <c r="E367" s="18"/>
      <c r="F367" s="22"/>
      <c r="G367" s="22"/>
      <c r="H367" s="23" t="str">
        <f aca="false">IF(F367="","",MAX(0,F367-N(G367)))</f>
        <v/>
      </c>
      <c r="I367" s="17"/>
    </row>
    <row r="368" customFormat="false" ht="15" hidden="false" customHeight="false" outlineLevel="0" collapsed="false">
      <c r="A368" s="19"/>
      <c r="B368" s="17"/>
      <c r="C368" s="17"/>
      <c r="D368" s="17"/>
      <c r="E368" s="18"/>
      <c r="F368" s="22"/>
      <c r="G368" s="22"/>
      <c r="H368" s="23" t="str">
        <f aca="false">IF(F368="","",MAX(0,F368-N(G368)))</f>
        <v/>
      </c>
      <c r="I368" s="17"/>
    </row>
    <row r="369" customFormat="false" ht="15" hidden="false" customHeight="false" outlineLevel="0" collapsed="false">
      <c r="A369" s="19"/>
      <c r="B369" s="17"/>
      <c r="C369" s="17"/>
      <c r="D369" s="17"/>
      <c r="E369" s="18"/>
      <c r="F369" s="22"/>
      <c r="G369" s="22"/>
      <c r="H369" s="23" t="str">
        <f aca="false">IF(F369="","",MAX(0,F369-N(G369)))</f>
        <v/>
      </c>
      <c r="I369" s="17"/>
    </row>
    <row r="370" customFormat="false" ht="15" hidden="false" customHeight="false" outlineLevel="0" collapsed="false">
      <c r="A370" s="19"/>
      <c r="B370" s="17"/>
      <c r="C370" s="17"/>
      <c r="D370" s="17"/>
      <c r="E370" s="18"/>
      <c r="F370" s="22"/>
      <c r="G370" s="22"/>
      <c r="H370" s="23" t="str">
        <f aca="false">IF(F370="","",MAX(0,F370-N(G370)))</f>
        <v/>
      </c>
      <c r="I370" s="17"/>
    </row>
    <row r="371" customFormat="false" ht="15" hidden="false" customHeight="false" outlineLevel="0" collapsed="false">
      <c r="A371" s="19"/>
      <c r="B371" s="17"/>
      <c r="C371" s="17"/>
      <c r="D371" s="17"/>
      <c r="E371" s="18"/>
      <c r="F371" s="22"/>
      <c r="G371" s="22"/>
      <c r="H371" s="23" t="str">
        <f aca="false">IF(F371="","",MAX(0,F371-N(G371)))</f>
        <v/>
      </c>
      <c r="I371" s="17"/>
    </row>
    <row r="372" customFormat="false" ht="15" hidden="false" customHeight="false" outlineLevel="0" collapsed="false">
      <c r="A372" s="19"/>
      <c r="B372" s="17"/>
      <c r="C372" s="17"/>
      <c r="D372" s="17"/>
      <c r="E372" s="18"/>
      <c r="F372" s="22"/>
      <c r="G372" s="22"/>
      <c r="H372" s="23" t="str">
        <f aca="false">IF(F372="","",MAX(0,F372-N(G372)))</f>
        <v/>
      </c>
      <c r="I372" s="17"/>
    </row>
    <row r="373" customFormat="false" ht="15" hidden="false" customHeight="false" outlineLevel="0" collapsed="false">
      <c r="A373" s="19"/>
      <c r="B373" s="17"/>
      <c r="C373" s="17"/>
      <c r="D373" s="17"/>
      <c r="E373" s="18"/>
      <c r="F373" s="22"/>
      <c r="G373" s="22"/>
      <c r="H373" s="23" t="str">
        <f aca="false">IF(F373="","",MAX(0,F373-N(G373)))</f>
        <v/>
      </c>
      <c r="I373" s="17"/>
    </row>
    <row r="374" customFormat="false" ht="15" hidden="false" customHeight="false" outlineLevel="0" collapsed="false">
      <c r="A374" s="19"/>
      <c r="B374" s="17"/>
      <c r="C374" s="17"/>
      <c r="D374" s="17"/>
      <c r="E374" s="18"/>
      <c r="F374" s="22"/>
      <c r="G374" s="22"/>
      <c r="H374" s="23" t="str">
        <f aca="false">IF(F374="","",MAX(0,F374-N(G374)))</f>
        <v/>
      </c>
      <c r="I374" s="17"/>
    </row>
    <row r="375" customFormat="false" ht="15" hidden="false" customHeight="false" outlineLevel="0" collapsed="false">
      <c r="A375" s="19"/>
      <c r="B375" s="17"/>
      <c r="C375" s="17"/>
      <c r="D375" s="17"/>
      <c r="E375" s="18"/>
      <c r="F375" s="22"/>
      <c r="G375" s="22"/>
      <c r="H375" s="23" t="str">
        <f aca="false">IF(F375="","",MAX(0,F375-N(G375)))</f>
        <v/>
      </c>
      <c r="I375" s="17"/>
    </row>
    <row r="376" customFormat="false" ht="15" hidden="false" customHeight="false" outlineLevel="0" collapsed="false">
      <c r="A376" s="19"/>
      <c r="B376" s="17"/>
      <c r="C376" s="17"/>
      <c r="D376" s="17"/>
      <c r="E376" s="18"/>
      <c r="F376" s="22"/>
      <c r="G376" s="22"/>
      <c r="H376" s="23" t="str">
        <f aca="false">IF(F376="","",MAX(0,F376-N(G376)))</f>
        <v/>
      </c>
      <c r="I376" s="17"/>
    </row>
    <row r="377" customFormat="false" ht="15" hidden="false" customHeight="false" outlineLevel="0" collapsed="false">
      <c r="A377" s="19"/>
      <c r="B377" s="17"/>
      <c r="C377" s="17"/>
      <c r="D377" s="17"/>
      <c r="E377" s="18"/>
      <c r="F377" s="22"/>
      <c r="G377" s="22"/>
      <c r="H377" s="23" t="str">
        <f aca="false">IF(F377="","",MAX(0,F377-N(G377)))</f>
        <v/>
      </c>
      <c r="I377" s="17"/>
    </row>
    <row r="378" customFormat="false" ht="15" hidden="false" customHeight="false" outlineLevel="0" collapsed="false">
      <c r="A378" s="19"/>
      <c r="B378" s="17"/>
      <c r="C378" s="17"/>
      <c r="D378" s="17"/>
      <c r="E378" s="18"/>
      <c r="F378" s="22"/>
      <c r="G378" s="22"/>
      <c r="H378" s="23" t="str">
        <f aca="false">IF(F378="","",MAX(0,F378-N(G378)))</f>
        <v/>
      </c>
      <c r="I378" s="17"/>
    </row>
    <row r="379" customFormat="false" ht="15" hidden="false" customHeight="false" outlineLevel="0" collapsed="false">
      <c r="A379" s="19"/>
      <c r="B379" s="17"/>
      <c r="C379" s="17"/>
      <c r="D379" s="17"/>
      <c r="E379" s="18"/>
      <c r="F379" s="22"/>
      <c r="G379" s="22"/>
      <c r="H379" s="23" t="str">
        <f aca="false">IF(F379="","",MAX(0,F379-N(G379)))</f>
        <v/>
      </c>
      <c r="I379" s="17"/>
    </row>
    <row r="380" customFormat="false" ht="15" hidden="false" customHeight="false" outlineLevel="0" collapsed="false">
      <c r="A380" s="19"/>
      <c r="B380" s="17"/>
      <c r="C380" s="17"/>
      <c r="D380" s="17"/>
      <c r="E380" s="18"/>
      <c r="F380" s="22"/>
      <c r="G380" s="22"/>
      <c r="H380" s="23" t="str">
        <f aca="false">IF(F380="","",MAX(0,F380-N(G380)))</f>
        <v/>
      </c>
      <c r="I380" s="17"/>
    </row>
    <row r="381" customFormat="false" ht="15" hidden="false" customHeight="false" outlineLevel="0" collapsed="false">
      <c r="A381" s="19"/>
      <c r="B381" s="17"/>
      <c r="C381" s="17"/>
      <c r="D381" s="17"/>
      <c r="E381" s="18"/>
      <c r="F381" s="22"/>
      <c r="G381" s="22"/>
      <c r="H381" s="23" t="str">
        <f aca="false">IF(F381="","",MAX(0,F381-N(G381)))</f>
        <v/>
      </c>
      <c r="I381" s="17"/>
    </row>
    <row r="382" customFormat="false" ht="15" hidden="false" customHeight="false" outlineLevel="0" collapsed="false">
      <c r="A382" s="19"/>
      <c r="B382" s="17"/>
      <c r="C382" s="17"/>
      <c r="D382" s="17"/>
      <c r="E382" s="18"/>
      <c r="F382" s="22"/>
      <c r="G382" s="22"/>
      <c r="H382" s="23" t="str">
        <f aca="false">IF(F382="","",MAX(0,F382-N(G382)))</f>
        <v/>
      </c>
      <c r="I382" s="17"/>
    </row>
    <row r="383" customFormat="false" ht="15" hidden="false" customHeight="false" outlineLevel="0" collapsed="false">
      <c r="A383" s="19"/>
      <c r="B383" s="17"/>
      <c r="C383" s="17"/>
      <c r="D383" s="17"/>
      <c r="E383" s="18"/>
      <c r="F383" s="22"/>
      <c r="G383" s="22"/>
      <c r="H383" s="23" t="str">
        <f aca="false">IF(F383="","",MAX(0,F383-N(G383)))</f>
        <v/>
      </c>
      <c r="I383" s="17"/>
    </row>
    <row r="384" customFormat="false" ht="15" hidden="false" customHeight="false" outlineLevel="0" collapsed="false">
      <c r="A384" s="19"/>
      <c r="B384" s="17"/>
      <c r="C384" s="17"/>
      <c r="D384" s="17"/>
      <c r="E384" s="18"/>
      <c r="F384" s="22"/>
      <c r="G384" s="22"/>
      <c r="H384" s="23" t="str">
        <f aca="false">IF(F384="","",MAX(0,F384-N(G384)))</f>
        <v/>
      </c>
      <c r="I384" s="17"/>
    </row>
    <row r="385" customFormat="false" ht="15" hidden="false" customHeight="false" outlineLevel="0" collapsed="false">
      <c r="A385" s="19"/>
      <c r="B385" s="17"/>
      <c r="C385" s="17"/>
      <c r="D385" s="17"/>
      <c r="E385" s="18"/>
      <c r="F385" s="22"/>
      <c r="G385" s="22"/>
      <c r="H385" s="23" t="str">
        <f aca="false">IF(F385="","",MAX(0,F385-N(G385)))</f>
        <v/>
      </c>
      <c r="I385" s="17"/>
    </row>
    <row r="386" customFormat="false" ht="15" hidden="false" customHeight="false" outlineLevel="0" collapsed="false">
      <c r="A386" s="19"/>
      <c r="B386" s="17"/>
      <c r="C386" s="17"/>
      <c r="D386" s="17"/>
      <c r="E386" s="18"/>
      <c r="F386" s="22"/>
      <c r="G386" s="22"/>
      <c r="H386" s="23" t="str">
        <f aca="false">IF(F386="","",MAX(0,F386-N(G386)))</f>
        <v/>
      </c>
      <c r="I386" s="17"/>
    </row>
    <row r="387" customFormat="false" ht="15" hidden="false" customHeight="false" outlineLevel="0" collapsed="false">
      <c r="A387" s="19"/>
      <c r="B387" s="17"/>
      <c r="C387" s="17"/>
      <c r="D387" s="17"/>
      <c r="E387" s="18"/>
      <c r="F387" s="22"/>
      <c r="G387" s="22"/>
      <c r="H387" s="23" t="str">
        <f aca="false">IF(F387="","",MAX(0,F387-N(G387)))</f>
        <v/>
      </c>
      <c r="I387" s="17"/>
    </row>
    <row r="388" customFormat="false" ht="15" hidden="false" customHeight="false" outlineLevel="0" collapsed="false">
      <c r="A388" s="19"/>
      <c r="B388" s="17"/>
      <c r="C388" s="17"/>
      <c r="D388" s="17"/>
      <c r="E388" s="18"/>
      <c r="F388" s="22"/>
      <c r="G388" s="22"/>
      <c r="H388" s="23" t="str">
        <f aca="false">IF(F388="","",MAX(0,F388-N(G388)))</f>
        <v/>
      </c>
      <c r="I388" s="17"/>
    </row>
    <row r="389" customFormat="false" ht="15" hidden="false" customHeight="false" outlineLevel="0" collapsed="false">
      <c r="A389" s="19"/>
      <c r="B389" s="17"/>
      <c r="C389" s="17"/>
      <c r="D389" s="17"/>
      <c r="E389" s="18"/>
      <c r="F389" s="22"/>
      <c r="G389" s="22"/>
      <c r="H389" s="23" t="str">
        <f aca="false">IF(F389="","",MAX(0,F389-N(G389)))</f>
        <v/>
      </c>
      <c r="I389" s="17"/>
    </row>
    <row r="390" customFormat="false" ht="15" hidden="false" customHeight="false" outlineLevel="0" collapsed="false">
      <c r="A390" s="19"/>
      <c r="B390" s="17"/>
      <c r="C390" s="17"/>
      <c r="D390" s="17"/>
      <c r="E390" s="18"/>
      <c r="F390" s="22"/>
      <c r="G390" s="22"/>
      <c r="H390" s="23" t="str">
        <f aca="false">IF(F390="","",MAX(0,F390-N(G390)))</f>
        <v/>
      </c>
      <c r="I390" s="17"/>
    </row>
    <row r="391" customFormat="false" ht="15" hidden="false" customHeight="false" outlineLevel="0" collapsed="false">
      <c r="A391" s="19"/>
      <c r="B391" s="17"/>
      <c r="C391" s="17"/>
      <c r="D391" s="17"/>
      <c r="E391" s="18"/>
      <c r="F391" s="22"/>
      <c r="G391" s="22"/>
      <c r="H391" s="23" t="str">
        <f aca="false">IF(F391="","",MAX(0,F391-N(G391)))</f>
        <v/>
      </c>
      <c r="I391" s="17"/>
    </row>
    <row r="392" customFormat="false" ht="15" hidden="false" customHeight="false" outlineLevel="0" collapsed="false">
      <c r="A392" s="19"/>
      <c r="B392" s="17"/>
      <c r="C392" s="17"/>
      <c r="D392" s="17"/>
      <c r="E392" s="18"/>
      <c r="F392" s="22"/>
      <c r="G392" s="22"/>
      <c r="H392" s="23" t="str">
        <f aca="false">IF(F392="","",MAX(0,F392-N(G392)))</f>
        <v/>
      </c>
      <c r="I392" s="17"/>
    </row>
    <row r="393" customFormat="false" ht="15" hidden="false" customHeight="false" outlineLevel="0" collapsed="false">
      <c r="A393" s="19"/>
      <c r="B393" s="17"/>
      <c r="C393" s="17"/>
      <c r="D393" s="17"/>
      <c r="E393" s="18"/>
      <c r="F393" s="22"/>
      <c r="G393" s="22"/>
      <c r="H393" s="23" t="str">
        <f aca="false">IF(F393="","",MAX(0,F393-N(G393)))</f>
        <v/>
      </c>
      <c r="I393" s="17"/>
    </row>
    <row r="394" customFormat="false" ht="15" hidden="false" customHeight="false" outlineLevel="0" collapsed="false">
      <c r="A394" s="19"/>
      <c r="B394" s="17"/>
      <c r="C394" s="17"/>
      <c r="D394" s="17"/>
      <c r="E394" s="18"/>
      <c r="F394" s="22"/>
      <c r="G394" s="22"/>
      <c r="H394" s="23" t="str">
        <f aca="false">IF(F394="","",MAX(0,F394-N(G394)))</f>
        <v/>
      </c>
      <c r="I394" s="17"/>
    </row>
    <row r="395" customFormat="false" ht="15" hidden="false" customHeight="false" outlineLevel="0" collapsed="false">
      <c r="A395" s="19"/>
      <c r="B395" s="17"/>
      <c r="C395" s="17"/>
      <c r="D395" s="17"/>
      <c r="E395" s="18"/>
      <c r="F395" s="22"/>
      <c r="G395" s="22"/>
      <c r="H395" s="23" t="str">
        <f aca="false">IF(F395="","",MAX(0,F395-N(G395)))</f>
        <v/>
      </c>
      <c r="I395" s="17"/>
    </row>
    <row r="396" customFormat="false" ht="15" hidden="false" customHeight="false" outlineLevel="0" collapsed="false">
      <c r="A396" s="19"/>
      <c r="B396" s="17"/>
      <c r="C396" s="17"/>
      <c r="D396" s="17"/>
      <c r="E396" s="18"/>
      <c r="F396" s="22"/>
      <c r="G396" s="22"/>
      <c r="H396" s="23" t="str">
        <f aca="false">IF(F396="","",MAX(0,F396-N(G396)))</f>
        <v/>
      </c>
      <c r="I396" s="17"/>
    </row>
    <row r="397" customFormat="false" ht="15" hidden="false" customHeight="false" outlineLevel="0" collapsed="false">
      <c r="A397" s="19"/>
      <c r="B397" s="17"/>
      <c r="C397" s="17"/>
      <c r="D397" s="17"/>
      <c r="E397" s="18"/>
      <c r="F397" s="22"/>
      <c r="G397" s="22"/>
      <c r="H397" s="23" t="str">
        <f aca="false">IF(F397="","",MAX(0,F397-N(G397)))</f>
        <v/>
      </c>
      <c r="I397" s="17"/>
    </row>
    <row r="398" customFormat="false" ht="15" hidden="false" customHeight="false" outlineLevel="0" collapsed="false">
      <c r="A398" s="19"/>
      <c r="B398" s="17"/>
      <c r="C398" s="17"/>
      <c r="D398" s="17"/>
      <c r="E398" s="18"/>
      <c r="F398" s="22"/>
      <c r="G398" s="22"/>
      <c r="H398" s="23" t="str">
        <f aca="false">IF(F398="","",MAX(0,F398-N(G398)))</f>
        <v/>
      </c>
      <c r="I398" s="17"/>
    </row>
    <row r="399" customFormat="false" ht="15" hidden="false" customHeight="false" outlineLevel="0" collapsed="false">
      <c r="A399" s="19"/>
      <c r="B399" s="17"/>
      <c r="C399" s="17"/>
      <c r="D399" s="17"/>
      <c r="E399" s="18"/>
      <c r="F399" s="22"/>
      <c r="G399" s="22"/>
      <c r="H399" s="23" t="str">
        <f aca="false">IF(F399="","",MAX(0,F399-N(G399)))</f>
        <v/>
      </c>
      <c r="I399" s="17"/>
    </row>
    <row r="400" customFormat="false" ht="15" hidden="false" customHeight="false" outlineLevel="0" collapsed="false">
      <c r="A400" s="19"/>
      <c r="B400" s="17"/>
      <c r="C400" s="17"/>
      <c r="D400" s="17"/>
      <c r="E400" s="18"/>
      <c r="F400" s="22"/>
      <c r="G400" s="22"/>
      <c r="H400" s="23" t="str">
        <f aca="false">IF(F400="","",MAX(0,F400-N(G400)))</f>
        <v/>
      </c>
      <c r="I400" s="17"/>
    </row>
    <row r="401" customFormat="false" ht="15" hidden="false" customHeight="false" outlineLevel="0" collapsed="false">
      <c r="A401" s="19"/>
      <c r="B401" s="17"/>
      <c r="C401" s="17"/>
      <c r="D401" s="17"/>
      <c r="E401" s="18"/>
      <c r="F401" s="22"/>
      <c r="G401" s="22"/>
      <c r="H401" s="23" t="str">
        <f aca="false">IF(F401="","",MAX(0,F401-N(G401)))</f>
        <v/>
      </c>
      <c r="I401" s="17"/>
    </row>
    <row r="402" customFormat="false" ht="15" hidden="false" customHeight="false" outlineLevel="0" collapsed="false">
      <c r="A402" s="19"/>
      <c r="B402" s="17"/>
      <c r="C402" s="17"/>
      <c r="D402" s="17"/>
      <c r="E402" s="18"/>
      <c r="F402" s="22"/>
      <c r="G402" s="22"/>
      <c r="H402" s="23" t="str">
        <f aca="false">IF(F402="","",MAX(0,F402-N(G402)))</f>
        <v/>
      </c>
      <c r="I402" s="17"/>
    </row>
    <row r="403" customFormat="false" ht="15" hidden="false" customHeight="false" outlineLevel="0" collapsed="false">
      <c r="A403" s="19"/>
      <c r="B403" s="17"/>
      <c r="C403" s="17"/>
      <c r="D403" s="17"/>
      <c r="E403" s="18"/>
      <c r="F403" s="22"/>
      <c r="G403" s="22"/>
      <c r="H403" s="23" t="str">
        <f aca="false">IF(F403="","",MAX(0,F403-N(G403)))</f>
        <v/>
      </c>
      <c r="I403" s="17"/>
    </row>
    <row r="404" customFormat="false" ht="15" hidden="false" customHeight="false" outlineLevel="0" collapsed="false">
      <c r="A404" s="19"/>
      <c r="B404" s="17"/>
      <c r="C404" s="17"/>
      <c r="D404" s="17"/>
      <c r="E404" s="18"/>
      <c r="F404" s="22"/>
      <c r="G404" s="22"/>
      <c r="H404" s="23" t="str">
        <f aca="false">IF(F404="","",MAX(0,F404-N(G404)))</f>
        <v/>
      </c>
      <c r="I404" s="17"/>
    </row>
    <row r="405" customFormat="false" ht="15" hidden="false" customHeight="false" outlineLevel="0" collapsed="false">
      <c r="A405" s="19"/>
      <c r="B405" s="17"/>
      <c r="C405" s="17"/>
      <c r="D405" s="17"/>
      <c r="E405" s="18"/>
      <c r="F405" s="22"/>
      <c r="G405" s="22"/>
      <c r="H405" s="23" t="str">
        <f aca="false">IF(F405="","",MAX(0,F405-N(G405)))</f>
        <v/>
      </c>
      <c r="I405" s="17"/>
    </row>
    <row r="406" customFormat="false" ht="15" hidden="false" customHeight="false" outlineLevel="0" collapsed="false">
      <c r="A406" s="19"/>
      <c r="B406" s="17"/>
      <c r="C406" s="17"/>
      <c r="D406" s="17"/>
      <c r="E406" s="18"/>
      <c r="F406" s="22"/>
      <c r="G406" s="22"/>
      <c r="H406" s="23" t="str">
        <f aca="false">IF(F406="","",MAX(0,F406-N(G406)))</f>
        <v/>
      </c>
      <c r="I406" s="17"/>
    </row>
    <row r="407" customFormat="false" ht="15" hidden="false" customHeight="false" outlineLevel="0" collapsed="false">
      <c r="A407" s="19"/>
      <c r="B407" s="17"/>
      <c r="C407" s="17"/>
      <c r="D407" s="17"/>
      <c r="E407" s="18"/>
      <c r="F407" s="22"/>
      <c r="G407" s="22"/>
      <c r="H407" s="23" t="str">
        <f aca="false">IF(F407="","",MAX(0,F407-N(G407)))</f>
        <v/>
      </c>
      <c r="I407" s="17"/>
    </row>
    <row r="408" customFormat="false" ht="15" hidden="false" customHeight="false" outlineLevel="0" collapsed="false">
      <c r="A408" s="19"/>
      <c r="B408" s="17"/>
      <c r="C408" s="17"/>
      <c r="D408" s="17"/>
      <c r="E408" s="18"/>
      <c r="F408" s="22"/>
      <c r="G408" s="22"/>
      <c r="H408" s="23" t="str">
        <f aca="false">IF(F408="","",MAX(0,F408-N(G408)))</f>
        <v/>
      </c>
      <c r="I408" s="17"/>
    </row>
    <row r="409" customFormat="false" ht="15" hidden="false" customHeight="false" outlineLevel="0" collapsed="false">
      <c r="A409" s="19"/>
      <c r="B409" s="17"/>
      <c r="C409" s="17"/>
      <c r="D409" s="17"/>
      <c r="E409" s="18"/>
      <c r="F409" s="22"/>
      <c r="G409" s="22"/>
      <c r="H409" s="23" t="str">
        <f aca="false">IF(F409="","",MAX(0,F409-N(G409)))</f>
        <v/>
      </c>
      <c r="I409" s="17"/>
    </row>
    <row r="410" customFormat="false" ht="15" hidden="false" customHeight="false" outlineLevel="0" collapsed="false">
      <c r="A410" s="19"/>
      <c r="B410" s="17"/>
      <c r="C410" s="17"/>
      <c r="D410" s="17"/>
      <c r="E410" s="18"/>
      <c r="F410" s="22"/>
      <c r="G410" s="22"/>
      <c r="H410" s="23" t="str">
        <f aca="false">IF(F410="","",MAX(0,F410-N(G410)))</f>
        <v/>
      </c>
      <c r="I410" s="17"/>
    </row>
    <row r="411" customFormat="false" ht="15" hidden="false" customHeight="false" outlineLevel="0" collapsed="false">
      <c r="A411" s="19"/>
      <c r="B411" s="17"/>
      <c r="C411" s="17"/>
      <c r="D411" s="17"/>
      <c r="E411" s="18"/>
      <c r="F411" s="22"/>
      <c r="G411" s="22"/>
      <c r="H411" s="23" t="str">
        <f aca="false">IF(F411="","",MAX(0,F411-N(G411)))</f>
        <v/>
      </c>
      <c r="I411" s="17"/>
    </row>
    <row r="412" customFormat="false" ht="15" hidden="false" customHeight="false" outlineLevel="0" collapsed="false">
      <c r="A412" s="19"/>
      <c r="B412" s="17"/>
      <c r="C412" s="17"/>
      <c r="D412" s="17"/>
      <c r="E412" s="18"/>
      <c r="F412" s="22"/>
      <c r="G412" s="22"/>
      <c r="H412" s="23" t="str">
        <f aca="false">IF(F412="","",MAX(0,F412-N(G412)))</f>
        <v/>
      </c>
      <c r="I412" s="17"/>
    </row>
    <row r="413" customFormat="false" ht="15" hidden="false" customHeight="false" outlineLevel="0" collapsed="false">
      <c r="A413" s="19"/>
      <c r="B413" s="17"/>
      <c r="C413" s="17"/>
      <c r="D413" s="17"/>
      <c r="E413" s="18"/>
      <c r="F413" s="22"/>
      <c r="G413" s="22"/>
      <c r="H413" s="23" t="str">
        <f aca="false">IF(F413="","",MAX(0,F413-N(G413)))</f>
        <v/>
      </c>
      <c r="I413" s="17"/>
    </row>
    <row r="414" customFormat="false" ht="15" hidden="false" customHeight="false" outlineLevel="0" collapsed="false">
      <c r="A414" s="19"/>
      <c r="B414" s="17"/>
      <c r="C414" s="17"/>
      <c r="D414" s="17"/>
      <c r="E414" s="18"/>
      <c r="F414" s="22"/>
      <c r="G414" s="22"/>
      <c r="H414" s="23" t="str">
        <f aca="false">IF(F414="","",MAX(0,F414-N(G414)))</f>
        <v/>
      </c>
      <c r="I414" s="17"/>
    </row>
    <row r="415" customFormat="false" ht="15" hidden="false" customHeight="false" outlineLevel="0" collapsed="false">
      <c r="A415" s="19"/>
      <c r="B415" s="17"/>
      <c r="C415" s="17"/>
      <c r="D415" s="17"/>
      <c r="E415" s="18"/>
      <c r="F415" s="22"/>
      <c r="G415" s="22"/>
      <c r="H415" s="23" t="str">
        <f aca="false">IF(F415="","",MAX(0,F415-N(G415)))</f>
        <v/>
      </c>
      <c r="I415" s="17"/>
    </row>
    <row r="416" customFormat="false" ht="15" hidden="false" customHeight="false" outlineLevel="0" collapsed="false">
      <c r="A416" s="19"/>
      <c r="B416" s="17"/>
      <c r="C416" s="17"/>
      <c r="D416" s="17"/>
      <c r="E416" s="18"/>
      <c r="F416" s="22"/>
      <c r="G416" s="22"/>
      <c r="H416" s="23" t="str">
        <f aca="false">IF(F416="","",MAX(0,F416-N(G416)))</f>
        <v/>
      </c>
      <c r="I416" s="17"/>
    </row>
    <row r="417" customFormat="false" ht="15" hidden="false" customHeight="false" outlineLevel="0" collapsed="false">
      <c r="A417" s="19"/>
      <c r="B417" s="17"/>
      <c r="C417" s="17"/>
      <c r="D417" s="17"/>
      <c r="E417" s="18"/>
      <c r="F417" s="22"/>
      <c r="G417" s="22"/>
      <c r="H417" s="23" t="str">
        <f aca="false">IF(F417="","",MAX(0,F417-N(G417)))</f>
        <v/>
      </c>
      <c r="I417" s="17"/>
    </row>
    <row r="418" customFormat="false" ht="15" hidden="false" customHeight="false" outlineLevel="0" collapsed="false">
      <c r="A418" s="19"/>
      <c r="B418" s="17"/>
      <c r="C418" s="17"/>
      <c r="D418" s="17"/>
      <c r="E418" s="18"/>
      <c r="F418" s="22"/>
      <c r="G418" s="22"/>
      <c r="H418" s="23" t="str">
        <f aca="false">IF(F418="","",MAX(0,F418-N(G418)))</f>
        <v/>
      </c>
      <c r="I418" s="17"/>
    </row>
    <row r="419" customFormat="false" ht="15" hidden="false" customHeight="false" outlineLevel="0" collapsed="false">
      <c r="A419" s="19"/>
      <c r="B419" s="17"/>
      <c r="C419" s="17"/>
      <c r="D419" s="17"/>
      <c r="E419" s="18"/>
      <c r="F419" s="22"/>
      <c r="G419" s="22"/>
      <c r="H419" s="23" t="str">
        <f aca="false">IF(F419="","",MAX(0,F419-N(G419)))</f>
        <v/>
      </c>
      <c r="I419" s="17"/>
    </row>
    <row r="420" customFormat="false" ht="15" hidden="false" customHeight="false" outlineLevel="0" collapsed="false">
      <c r="A420" s="19"/>
      <c r="B420" s="17"/>
      <c r="C420" s="17"/>
      <c r="D420" s="17"/>
      <c r="E420" s="18"/>
      <c r="F420" s="22"/>
      <c r="G420" s="22"/>
      <c r="H420" s="23" t="str">
        <f aca="false">IF(F420="","",MAX(0,F420-N(G420)))</f>
        <v/>
      </c>
      <c r="I420" s="17"/>
    </row>
    <row r="421" customFormat="false" ht="15" hidden="false" customHeight="false" outlineLevel="0" collapsed="false">
      <c r="A421" s="19"/>
      <c r="B421" s="17"/>
      <c r="C421" s="17"/>
      <c r="D421" s="17"/>
      <c r="E421" s="18"/>
      <c r="F421" s="22"/>
      <c r="G421" s="22"/>
      <c r="H421" s="23" t="str">
        <f aca="false">IF(F421="","",MAX(0,F421-N(G421)))</f>
        <v/>
      </c>
      <c r="I421" s="17"/>
    </row>
    <row r="422" customFormat="false" ht="15" hidden="false" customHeight="false" outlineLevel="0" collapsed="false">
      <c r="A422" s="19"/>
      <c r="B422" s="17"/>
      <c r="C422" s="17"/>
      <c r="D422" s="17"/>
      <c r="E422" s="18"/>
      <c r="F422" s="22"/>
      <c r="G422" s="22"/>
      <c r="H422" s="23" t="str">
        <f aca="false">IF(F422="","",MAX(0,F422-N(G422)))</f>
        <v/>
      </c>
      <c r="I422" s="17"/>
    </row>
    <row r="423" customFormat="false" ht="15" hidden="false" customHeight="false" outlineLevel="0" collapsed="false">
      <c r="A423" s="19"/>
      <c r="B423" s="17"/>
      <c r="C423" s="17"/>
      <c r="D423" s="17"/>
      <c r="E423" s="18"/>
      <c r="F423" s="22"/>
      <c r="G423" s="22"/>
      <c r="H423" s="23" t="str">
        <f aca="false">IF(F423="","",MAX(0,F423-N(G423)))</f>
        <v/>
      </c>
      <c r="I423" s="17"/>
    </row>
    <row r="424" customFormat="false" ht="15" hidden="false" customHeight="false" outlineLevel="0" collapsed="false">
      <c r="A424" s="19"/>
      <c r="B424" s="17"/>
      <c r="C424" s="17"/>
      <c r="D424" s="17"/>
      <c r="E424" s="18"/>
      <c r="F424" s="22"/>
      <c r="G424" s="22"/>
      <c r="H424" s="23" t="str">
        <f aca="false">IF(F424="","",MAX(0,F424-N(G424)))</f>
        <v/>
      </c>
      <c r="I424" s="17"/>
    </row>
    <row r="425" customFormat="false" ht="15" hidden="false" customHeight="false" outlineLevel="0" collapsed="false">
      <c r="A425" s="19"/>
      <c r="B425" s="17"/>
      <c r="C425" s="17"/>
      <c r="D425" s="17"/>
      <c r="E425" s="18"/>
      <c r="F425" s="22"/>
      <c r="G425" s="22"/>
      <c r="H425" s="23" t="str">
        <f aca="false">IF(F425="","",MAX(0,F425-N(G425)))</f>
        <v/>
      </c>
      <c r="I425" s="17"/>
    </row>
    <row r="426" customFormat="false" ht="15" hidden="false" customHeight="false" outlineLevel="0" collapsed="false">
      <c r="A426" s="19"/>
      <c r="B426" s="17"/>
      <c r="C426" s="17"/>
      <c r="D426" s="17"/>
      <c r="E426" s="18"/>
      <c r="F426" s="22"/>
      <c r="G426" s="22"/>
      <c r="H426" s="23" t="str">
        <f aca="false">IF(F426="","",MAX(0,F426-N(G426)))</f>
        <v/>
      </c>
      <c r="I426" s="17"/>
    </row>
    <row r="427" customFormat="false" ht="15" hidden="false" customHeight="false" outlineLevel="0" collapsed="false">
      <c r="A427" s="19"/>
      <c r="B427" s="17"/>
      <c r="C427" s="17"/>
      <c r="D427" s="17"/>
      <c r="E427" s="18"/>
      <c r="F427" s="22"/>
      <c r="G427" s="22"/>
      <c r="H427" s="23" t="str">
        <f aca="false">IF(F427="","",MAX(0,F427-N(G427)))</f>
        <v/>
      </c>
      <c r="I427" s="17"/>
    </row>
    <row r="428" customFormat="false" ht="15" hidden="false" customHeight="false" outlineLevel="0" collapsed="false">
      <c r="A428" s="19"/>
      <c r="B428" s="17"/>
      <c r="C428" s="17"/>
      <c r="D428" s="17"/>
      <c r="E428" s="18"/>
      <c r="F428" s="22"/>
      <c r="G428" s="22"/>
      <c r="H428" s="23" t="str">
        <f aca="false">IF(F428="","",MAX(0,F428-N(G428)))</f>
        <v/>
      </c>
      <c r="I428" s="17"/>
    </row>
    <row r="429" customFormat="false" ht="15" hidden="false" customHeight="false" outlineLevel="0" collapsed="false">
      <c r="A429" s="19"/>
      <c r="B429" s="17"/>
      <c r="C429" s="17"/>
      <c r="D429" s="17"/>
      <c r="E429" s="18"/>
      <c r="F429" s="22"/>
      <c r="G429" s="22"/>
      <c r="H429" s="23" t="str">
        <f aca="false">IF(F429="","",MAX(0,F429-N(G429)))</f>
        <v/>
      </c>
      <c r="I429" s="17"/>
    </row>
    <row r="430" customFormat="false" ht="15" hidden="false" customHeight="false" outlineLevel="0" collapsed="false">
      <c r="A430" s="19"/>
      <c r="B430" s="17"/>
      <c r="C430" s="17"/>
      <c r="D430" s="17"/>
      <c r="E430" s="18"/>
      <c r="F430" s="22"/>
      <c r="G430" s="22"/>
      <c r="H430" s="23" t="str">
        <f aca="false">IF(F430="","",MAX(0,F430-N(G430)))</f>
        <v/>
      </c>
      <c r="I430" s="17"/>
    </row>
    <row r="431" customFormat="false" ht="15" hidden="false" customHeight="false" outlineLevel="0" collapsed="false">
      <c r="A431" s="19"/>
      <c r="B431" s="17"/>
      <c r="C431" s="17"/>
      <c r="D431" s="17"/>
      <c r="E431" s="18"/>
      <c r="F431" s="22"/>
      <c r="G431" s="22"/>
      <c r="H431" s="23" t="str">
        <f aca="false">IF(F431="","",MAX(0,F431-N(G431)))</f>
        <v/>
      </c>
      <c r="I431" s="17"/>
    </row>
    <row r="432" customFormat="false" ht="15" hidden="false" customHeight="false" outlineLevel="0" collapsed="false">
      <c r="A432" s="19"/>
      <c r="B432" s="17"/>
      <c r="C432" s="17"/>
      <c r="D432" s="17"/>
      <c r="E432" s="18"/>
      <c r="F432" s="22"/>
      <c r="G432" s="22"/>
      <c r="H432" s="23" t="str">
        <f aca="false">IF(F432="","",MAX(0,F432-N(G432)))</f>
        <v/>
      </c>
      <c r="I432" s="17"/>
    </row>
    <row r="433" customFormat="false" ht="15" hidden="false" customHeight="false" outlineLevel="0" collapsed="false">
      <c r="A433" s="19"/>
      <c r="B433" s="17"/>
      <c r="C433" s="17"/>
      <c r="D433" s="17"/>
      <c r="E433" s="18"/>
      <c r="F433" s="22"/>
      <c r="G433" s="22"/>
      <c r="H433" s="23" t="str">
        <f aca="false">IF(F433="","",MAX(0,F433-N(G433)))</f>
        <v/>
      </c>
      <c r="I433" s="17"/>
    </row>
    <row r="434" customFormat="false" ht="15" hidden="false" customHeight="false" outlineLevel="0" collapsed="false">
      <c r="A434" s="19"/>
      <c r="B434" s="17"/>
      <c r="C434" s="17"/>
      <c r="D434" s="17"/>
      <c r="E434" s="18"/>
      <c r="F434" s="22"/>
      <c r="G434" s="22"/>
      <c r="H434" s="23" t="str">
        <f aca="false">IF(F434="","",MAX(0,F434-N(G434)))</f>
        <v/>
      </c>
      <c r="I434" s="17"/>
    </row>
    <row r="435" customFormat="false" ht="15" hidden="false" customHeight="false" outlineLevel="0" collapsed="false">
      <c r="A435" s="19"/>
      <c r="B435" s="17"/>
      <c r="C435" s="17"/>
      <c r="D435" s="17"/>
      <c r="E435" s="18"/>
      <c r="F435" s="22"/>
      <c r="G435" s="22"/>
      <c r="H435" s="23" t="str">
        <f aca="false">IF(F435="","",MAX(0,F435-N(G435)))</f>
        <v/>
      </c>
      <c r="I435" s="17"/>
    </row>
    <row r="436" customFormat="false" ht="15" hidden="false" customHeight="false" outlineLevel="0" collapsed="false">
      <c r="A436" s="19"/>
      <c r="B436" s="17"/>
      <c r="C436" s="17"/>
      <c r="D436" s="17"/>
      <c r="E436" s="18"/>
      <c r="F436" s="22"/>
      <c r="G436" s="22"/>
      <c r="H436" s="23" t="str">
        <f aca="false">IF(F436="","",MAX(0,F436-N(G436)))</f>
        <v/>
      </c>
      <c r="I436" s="17"/>
    </row>
    <row r="437" customFormat="false" ht="15" hidden="false" customHeight="false" outlineLevel="0" collapsed="false">
      <c r="A437" s="19"/>
      <c r="B437" s="17"/>
      <c r="C437" s="17"/>
      <c r="D437" s="17"/>
      <c r="E437" s="18"/>
      <c r="F437" s="22"/>
      <c r="G437" s="22"/>
      <c r="H437" s="23" t="str">
        <f aca="false">IF(F437="","",MAX(0,F437-N(G437)))</f>
        <v/>
      </c>
      <c r="I437" s="17"/>
    </row>
    <row r="438" customFormat="false" ht="15" hidden="false" customHeight="false" outlineLevel="0" collapsed="false">
      <c r="A438" s="19"/>
      <c r="B438" s="17"/>
      <c r="C438" s="17"/>
      <c r="D438" s="17"/>
      <c r="E438" s="18"/>
      <c r="F438" s="22"/>
      <c r="G438" s="22"/>
      <c r="H438" s="23" t="str">
        <f aca="false">IF(F438="","",MAX(0,F438-N(G438)))</f>
        <v/>
      </c>
      <c r="I438" s="17"/>
    </row>
    <row r="439" customFormat="false" ht="15" hidden="false" customHeight="false" outlineLevel="0" collapsed="false">
      <c r="A439" s="19"/>
      <c r="B439" s="17"/>
      <c r="C439" s="17"/>
      <c r="D439" s="17"/>
      <c r="E439" s="18"/>
      <c r="F439" s="22"/>
      <c r="G439" s="22"/>
      <c r="H439" s="23" t="str">
        <f aca="false">IF(F439="","",MAX(0,F439-N(G439)))</f>
        <v/>
      </c>
      <c r="I439" s="17"/>
    </row>
    <row r="440" customFormat="false" ht="15" hidden="false" customHeight="false" outlineLevel="0" collapsed="false">
      <c r="A440" s="19"/>
      <c r="B440" s="17"/>
      <c r="C440" s="17"/>
      <c r="D440" s="17"/>
      <c r="E440" s="18"/>
      <c r="F440" s="22"/>
      <c r="G440" s="22"/>
      <c r="H440" s="23" t="str">
        <f aca="false">IF(F440="","",MAX(0,F440-N(G440)))</f>
        <v/>
      </c>
      <c r="I440" s="17"/>
    </row>
    <row r="441" customFormat="false" ht="15" hidden="false" customHeight="false" outlineLevel="0" collapsed="false">
      <c r="A441" s="19"/>
      <c r="B441" s="17"/>
      <c r="C441" s="17"/>
      <c r="D441" s="17"/>
      <c r="E441" s="18"/>
      <c r="F441" s="22"/>
      <c r="G441" s="22"/>
      <c r="H441" s="23" t="str">
        <f aca="false">IF(F441="","",MAX(0,F441-N(G441)))</f>
        <v/>
      </c>
      <c r="I441" s="17"/>
    </row>
    <row r="442" customFormat="false" ht="15" hidden="false" customHeight="false" outlineLevel="0" collapsed="false">
      <c r="A442" s="19"/>
      <c r="B442" s="17"/>
      <c r="C442" s="17"/>
      <c r="D442" s="17"/>
      <c r="E442" s="18"/>
      <c r="F442" s="22"/>
      <c r="G442" s="22"/>
      <c r="H442" s="23" t="str">
        <f aca="false">IF(F442="","",MAX(0,F442-N(G442)))</f>
        <v/>
      </c>
      <c r="I442" s="17"/>
    </row>
    <row r="443" customFormat="false" ht="15" hidden="false" customHeight="false" outlineLevel="0" collapsed="false">
      <c r="A443" s="19"/>
      <c r="B443" s="17"/>
      <c r="C443" s="17"/>
      <c r="D443" s="17"/>
      <c r="E443" s="18"/>
      <c r="F443" s="22"/>
      <c r="G443" s="22"/>
      <c r="H443" s="23" t="str">
        <f aca="false">IF(F443="","",MAX(0,F443-N(G443)))</f>
        <v/>
      </c>
      <c r="I443" s="17"/>
    </row>
    <row r="444" customFormat="false" ht="15" hidden="false" customHeight="false" outlineLevel="0" collapsed="false">
      <c r="A444" s="19"/>
      <c r="B444" s="17"/>
      <c r="C444" s="17"/>
      <c r="D444" s="17"/>
      <c r="E444" s="18"/>
      <c r="F444" s="22"/>
      <c r="G444" s="22"/>
      <c r="H444" s="23" t="str">
        <f aca="false">IF(F444="","",MAX(0,F444-N(G444)))</f>
        <v/>
      </c>
      <c r="I444" s="17"/>
    </row>
    <row r="445" customFormat="false" ht="15" hidden="false" customHeight="false" outlineLevel="0" collapsed="false">
      <c r="A445" s="19"/>
      <c r="B445" s="17"/>
      <c r="C445" s="17"/>
      <c r="D445" s="17"/>
      <c r="E445" s="18"/>
      <c r="F445" s="22"/>
      <c r="G445" s="22"/>
      <c r="H445" s="23" t="str">
        <f aca="false">IF(F445="","",MAX(0,F445-N(G445)))</f>
        <v/>
      </c>
      <c r="I445" s="17"/>
    </row>
    <row r="446" customFormat="false" ht="15" hidden="false" customHeight="false" outlineLevel="0" collapsed="false">
      <c r="A446" s="19"/>
      <c r="B446" s="17"/>
      <c r="C446" s="17"/>
      <c r="D446" s="17"/>
      <c r="E446" s="18"/>
      <c r="F446" s="22"/>
      <c r="G446" s="22"/>
      <c r="H446" s="23" t="str">
        <f aca="false">IF(F446="","",MAX(0,F446-N(G446)))</f>
        <v/>
      </c>
      <c r="I446" s="17"/>
    </row>
    <row r="447" customFormat="false" ht="15" hidden="false" customHeight="false" outlineLevel="0" collapsed="false">
      <c r="A447" s="19"/>
      <c r="B447" s="17"/>
      <c r="C447" s="17"/>
      <c r="D447" s="17"/>
      <c r="E447" s="18"/>
      <c r="F447" s="22"/>
      <c r="G447" s="22"/>
      <c r="H447" s="23" t="str">
        <f aca="false">IF(F447="","",MAX(0,F447-N(G447)))</f>
        <v/>
      </c>
      <c r="I447" s="17"/>
    </row>
    <row r="448" customFormat="false" ht="15" hidden="false" customHeight="false" outlineLevel="0" collapsed="false">
      <c r="A448" s="19"/>
      <c r="B448" s="17"/>
      <c r="C448" s="17"/>
      <c r="D448" s="17"/>
      <c r="E448" s="18"/>
      <c r="F448" s="22"/>
      <c r="G448" s="22"/>
      <c r="H448" s="23" t="str">
        <f aca="false">IF(F448="","",MAX(0,F448-N(G448)))</f>
        <v/>
      </c>
      <c r="I448" s="17"/>
    </row>
    <row r="449" customFormat="false" ht="15" hidden="false" customHeight="false" outlineLevel="0" collapsed="false">
      <c r="A449" s="19"/>
      <c r="B449" s="17"/>
      <c r="C449" s="17"/>
      <c r="D449" s="17"/>
      <c r="E449" s="18"/>
      <c r="F449" s="22"/>
      <c r="G449" s="22"/>
      <c r="H449" s="23" t="str">
        <f aca="false">IF(F449="","",MAX(0,F449-N(G449)))</f>
        <v/>
      </c>
      <c r="I449" s="17"/>
    </row>
    <row r="450" customFormat="false" ht="15" hidden="false" customHeight="false" outlineLevel="0" collapsed="false">
      <c r="A450" s="19"/>
      <c r="B450" s="17"/>
      <c r="C450" s="17"/>
      <c r="D450" s="17"/>
      <c r="E450" s="18"/>
      <c r="F450" s="22"/>
      <c r="G450" s="22"/>
      <c r="H450" s="23" t="str">
        <f aca="false">IF(F450="","",MAX(0,F450-N(G450)))</f>
        <v/>
      </c>
      <c r="I450" s="17"/>
    </row>
    <row r="451" customFormat="false" ht="15" hidden="false" customHeight="false" outlineLevel="0" collapsed="false">
      <c r="A451" s="19"/>
      <c r="B451" s="17"/>
      <c r="C451" s="17"/>
      <c r="D451" s="17"/>
      <c r="E451" s="18"/>
      <c r="F451" s="22"/>
      <c r="G451" s="22"/>
      <c r="H451" s="23" t="str">
        <f aca="false">IF(F451="","",MAX(0,F451-N(G451)))</f>
        <v/>
      </c>
      <c r="I451" s="17"/>
    </row>
    <row r="452" customFormat="false" ht="15" hidden="false" customHeight="false" outlineLevel="0" collapsed="false">
      <c r="A452" s="19"/>
      <c r="B452" s="17"/>
      <c r="C452" s="17"/>
      <c r="D452" s="17"/>
      <c r="E452" s="18"/>
      <c r="F452" s="22"/>
      <c r="G452" s="22"/>
      <c r="H452" s="23" t="str">
        <f aca="false">IF(F452="","",MAX(0,F452-N(G452)))</f>
        <v/>
      </c>
      <c r="I452" s="17"/>
    </row>
    <row r="453" customFormat="false" ht="15" hidden="false" customHeight="false" outlineLevel="0" collapsed="false">
      <c r="A453" s="19"/>
      <c r="B453" s="17"/>
      <c r="C453" s="17"/>
      <c r="D453" s="17"/>
      <c r="E453" s="18"/>
      <c r="F453" s="22"/>
      <c r="G453" s="22"/>
      <c r="H453" s="23" t="str">
        <f aca="false">IF(F453="","",MAX(0,F453-N(G453)))</f>
        <v/>
      </c>
      <c r="I453" s="17"/>
    </row>
    <row r="454" customFormat="false" ht="15" hidden="false" customHeight="false" outlineLevel="0" collapsed="false">
      <c r="A454" s="19"/>
      <c r="B454" s="17"/>
      <c r="C454" s="17"/>
      <c r="D454" s="17"/>
      <c r="E454" s="18"/>
      <c r="F454" s="22"/>
      <c r="G454" s="22"/>
      <c r="H454" s="23" t="str">
        <f aca="false">IF(F454="","",MAX(0,F454-N(G454)))</f>
        <v/>
      </c>
      <c r="I454" s="17"/>
    </row>
    <row r="455" customFormat="false" ht="15" hidden="false" customHeight="false" outlineLevel="0" collapsed="false">
      <c r="A455" s="19"/>
      <c r="B455" s="17"/>
      <c r="C455" s="17"/>
      <c r="D455" s="17"/>
      <c r="E455" s="18"/>
      <c r="F455" s="22"/>
      <c r="G455" s="22"/>
      <c r="H455" s="23" t="str">
        <f aca="false">IF(F455="","",MAX(0,F455-N(G455)))</f>
        <v/>
      </c>
      <c r="I455" s="17"/>
    </row>
    <row r="456" customFormat="false" ht="15" hidden="false" customHeight="false" outlineLevel="0" collapsed="false">
      <c r="A456" s="19"/>
      <c r="B456" s="17"/>
      <c r="C456" s="17"/>
      <c r="D456" s="17"/>
      <c r="E456" s="18"/>
      <c r="F456" s="22"/>
      <c r="G456" s="22"/>
      <c r="H456" s="23" t="str">
        <f aca="false">IF(F456="","",MAX(0,F456-N(G456)))</f>
        <v/>
      </c>
      <c r="I456" s="17"/>
    </row>
    <row r="457" customFormat="false" ht="15" hidden="false" customHeight="false" outlineLevel="0" collapsed="false">
      <c r="A457" s="19"/>
      <c r="B457" s="17"/>
      <c r="C457" s="17"/>
      <c r="D457" s="17"/>
      <c r="E457" s="18"/>
      <c r="F457" s="22"/>
      <c r="G457" s="22"/>
      <c r="H457" s="23" t="str">
        <f aca="false">IF(F457="","",MAX(0,F457-N(G457)))</f>
        <v/>
      </c>
      <c r="I457" s="17"/>
    </row>
    <row r="458" customFormat="false" ht="15" hidden="false" customHeight="false" outlineLevel="0" collapsed="false">
      <c r="A458" s="19"/>
      <c r="B458" s="17"/>
      <c r="C458" s="17"/>
      <c r="D458" s="17"/>
      <c r="E458" s="18"/>
      <c r="F458" s="22"/>
      <c r="G458" s="22"/>
      <c r="H458" s="23" t="str">
        <f aca="false">IF(F458="","",MAX(0,F458-N(G458)))</f>
        <v/>
      </c>
      <c r="I458" s="17"/>
    </row>
    <row r="459" customFormat="false" ht="15" hidden="false" customHeight="false" outlineLevel="0" collapsed="false">
      <c r="A459" s="19"/>
      <c r="B459" s="17"/>
      <c r="C459" s="17"/>
      <c r="D459" s="17"/>
      <c r="E459" s="18"/>
      <c r="F459" s="22"/>
      <c r="G459" s="22"/>
      <c r="H459" s="23" t="str">
        <f aca="false">IF(F459="","",MAX(0,F459-N(G459)))</f>
        <v/>
      </c>
      <c r="I459" s="17"/>
    </row>
    <row r="460" customFormat="false" ht="15" hidden="false" customHeight="false" outlineLevel="0" collapsed="false">
      <c r="A460" s="19"/>
      <c r="B460" s="17"/>
      <c r="C460" s="17"/>
      <c r="D460" s="17"/>
      <c r="E460" s="18"/>
      <c r="F460" s="22"/>
      <c r="G460" s="22"/>
      <c r="H460" s="23" t="str">
        <f aca="false">IF(F460="","",MAX(0,F460-N(G460)))</f>
        <v/>
      </c>
      <c r="I460" s="17"/>
    </row>
    <row r="461" customFormat="false" ht="15" hidden="false" customHeight="false" outlineLevel="0" collapsed="false">
      <c r="A461" s="19"/>
      <c r="B461" s="17"/>
      <c r="C461" s="17"/>
      <c r="D461" s="17"/>
      <c r="E461" s="18"/>
      <c r="F461" s="22"/>
      <c r="G461" s="22"/>
      <c r="H461" s="23" t="str">
        <f aca="false">IF(F461="","",MAX(0,F461-N(G461)))</f>
        <v/>
      </c>
      <c r="I461" s="17"/>
    </row>
    <row r="462" customFormat="false" ht="15" hidden="false" customHeight="false" outlineLevel="0" collapsed="false">
      <c r="A462" s="19"/>
      <c r="B462" s="17"/>
      <c r="C462" s="17"/>
      <c r="D462" s="17"/>
      <c r="E462" s="18"/>
      <c r="F462" s="22"/>
      <c r="G462" s="22"/>
      <c r="H462" s="23" t="str">
        <f aca="false">IF(F462="","",MAX(0,F462-N(G462)))</f>
        <v/>
      </c>
      <c r="I462" s="17"/>
    </row>
    <row r="463" customFormat="false" ht="15" hidden="false" customHeight="false" outlineLevel="0" collapsed="false">
      <c r="A463" s="19"/>
      <c r="B463" s="17"/>
      <c r="C463" s="17"/>
      <c r="D463" s="17"/>
      <c r="E463" s="18"/>
      <c r="F463" s="22"/>
      <c r="G463" s="22"/>
      <c r="H463" s="23" t="str">
        <f aca="false">IF(F463="","",MAX(0,F463-N(G463)))</f>
        <v/>
      </c>
      <c r="I463" s="17"/>
    </row>
    <row r="464" customFormat="false" ht="15" hidden="false" customHeight="false" outlineLevel="0" collapsed="false">
      <c r="A464" s="19"/>
      <c r="B464" s="17"/>
      <c r="C464" s="17"/>
      <c r="D464" s="17"/>
      <c r="E464" s="18"/>
      <c r="F464" s="22"/>
      <c r="G464" s="22"/>
      <c r="H464" s="23" t="str">
        <f aca="false">IF(F464="","",MAX(0,F464-N(G464)))</f>
        <v/>
      </c>
      <c r="I464" s="17"/>
    </row>
    <row r="465" customFormat="false" ht="15" hidden="false" customHeight="false" outlineLevel="0" collapsed="false">
      <c r="A465" s="19"/>
      <c r="B465" s="17"/>
      <c r="C465" s="17"/>
      <c r="D465" s="17"/>
      <c r="E465" s="18"/>
      <c r="F465" s="22"/>
      <c r="G465" s="22"/>
      <c r="H465" s="23" t="str">
        <f aca="false">IF(F465="","",MAX(0,F465-N(G465)))</f>
        <v/>
      </c>
      <c r="I465" s="17"/>
    </row>
    <row r="466" customFormat="false" ht="15" hidden="false" customHeight="false" outlineLevel="0" collapsed="false">
      <c r="A466" s="19"/>
      <c r="B466" s="17"/>
      <c r="C466" s="17"/>
      <c r="D466" s="17"/>
      <c r="E466" s="18"/>
      <c r="F466" s="22"/>
      <c r="G466" s="22"/>
      <c r="H466" s="23" t="str">
        <f aca="false">IF(F466="","",MAX(0,F466-N(G466)))</f>
        <v/>
      </c>
      <c r="I466" s="17"/>
    </row>
    <row r="467" customFormat="false" ht="15" hidden="false" customHeight="false" outlineLevel="0" collapsed="false">
      <c r="A467" s="19"/>
      <c r="B467" s="17"/>
      <c r="C467" s="17"/>
      <c r="D467" s="17"/>
      <c r="E467" s="18"/>
      <c r="F467" s="22"/>
      <c r="G467" s="22"/>
      <c r="H467" s="23" t="str">
        <f aca="false">IF(F467="","",MAX(0,F467-N(G467)))</f>
        <v/>
      </c>
      <c r="I467" s="17"/>
    </row>
    <row r="468" customFormat="false" ht="15" hidden="false" customHeight="false" outlineLevel="0" collapsed="false">
      <c r="A468" s="19"/>
      <c r="B468" s="17"/>
      <c r="C468" s="17"/>
      <c r="D468" s="17"/>
      <c r="E468" s="18"/>
      <c r="F468" s="22"/>
      <c r="G468" s="22"/>
      <c r="H468" s="23" t="str">
        <f aca="false">IF(F468="","",MAX(0,F468-N(G468)))</f>
        <v/>
      </c>
      <c r="I468" s="17"/>
    </row>
    <row r="469" customFormat="false" ht="15" hidden="false" customHeight="false" outlineLevel="0" collapsed="false">
      <c r="A469" s="19"/>
      <c r="B469" s="17"/>
      <c r="C469" s="17"/>
      <c r="D469" s="17"/>
      <c r="E469" s="18"/>
      <c r="F469" s="22"/>
      <c r="G469" s="22"/>
      <c r="H469" s="23" t="str">
        <f aca="false">IF(F469="","",MAX(0,F469-N(G469)))</f>
        <v/>
      </c>
      <c r="I469" s="17"/>
    </row>
    <row r="470" customFormat="false" ht="15" hidden="false" customHeight="false" outlineLevel="0" collapsed="false">
      <c r="A470" s="19"/>
      <c r="B470" s="17"/>
      <c r="C470" s="17"/>
      <c r="D470" s="17"/>
      <c r="E470" s="18"/>
      <c r="F470" s="22"/>
      <c r="G470" s="22"/>
      <c r="H470" s="23" t="str">
        <f aca="false">IF(F470="","",MAX(0,F470-N(G470)))</f>
        <v/>
      </c>
      <c r="I470" s="17"/>
    </row>
    <row r="471" customFormat="false" ht="15" hidden="false" customHeight="false" outlineLevel="0" collapsed="false">
      <c r="A471" s="19"/>
      <c r="B471" s="17"/>
      <c r="C471" s="17"/>
      <c r="D471" s="17"/>
      <c r="E471" s="18"/>
      <c r="F471" s="22"/>
      <c r="G471" s="22"/>
      <c r="H471" s="23" t="str">
        <f aca="false">IF(F471="","",MAX(0,F471-N(G471)))</f>
        <v/>
      </c>
      <c r="I471" s="17"/>
    </row>
    <row r="472" customFormat="false" ht="15" hidden="false" customHeight="false" outlineLevel="0" collapsed="false">
      <c r="A472" s="19"/>
      <c r="B472" s="17"/>
      <c r="C472" s="17"/>
      <c r="D472" s="17"/>
      <c r="E472" s="18"/>
      <c r="F472" s="22"/>
      <c r="G472" s="22"/>
      <c r="H472" s="23" t="str">
        <f aca="false">IF(F472="","",MAX(0,F472-N(G472)))</f>
        <v/>
      </c>
      <c r="I472" s="17"/>
    </row>
    <row r="473" customFormat="false" ht="15" hidden="false" customHeight="false" outlineLevel="0" collapsed="false">
      <c r="A473" s="19"/>
      <c r="B473" s="17"/>
      <c r="C473" s="17"/>
      <c r="D473" s="17"/>
      <c r="E473" s="18"/>
      <c r="F473" s="22"/>
      <c r="G473" s="22"/>
      <c r="H473" s="23" t="str">
        <f aca="false">IF(F473="","",MAX(0,F473-N(G473)))</f>
        <v/>
      </c>
      <c r="I473" s="17"/>
    </row>
    <row r="474" customFormat="false" ht="15" hidden="false" customHeight="false" outlineLevel="0" collapsed="false">
      <c r="A474" s="19"/>
      <c r="B474" s="17"/>
      <c r="C474" s="17"/>
      <c r="D474" s="17"/>
      <c r="E474" s="18"/>
      <c r="F474" s="22"/>
      <c r="G474" s="22"/>
      <c r="H474" s="23" t="str">
        <f aca="false">IF(F474="","",MAX(0,F474-N(G474)))</f>
        <v/>
      </c>
      <c r="I474" s="17"/>
    </row>
    <row r="475" customFormat="false" ht="15" hidden="false" customHeight="false" outlineLevel="0" collapsed="false">
      <c r="A475" s="19"/>
      <c r="B475" s="17"/>
      <c r="C475" s="17"/>
      <c r="D475" s="17"/>
      <c r="E475" s="18"/>
      <c r="F475" s="22"/>
      <c r="G475" s="22"/>
      <c r="H475" s="23" t="str">
        <f aca="false">IF(F475="","",MAX(0,F475-N(G475)))</f>
        <v/>
      </c>
      <c r="I475" s="17"/>
    </row>
    <row r="476" customFormat="false" ht="15" hidden="false" customHeight="false" outlineLevel="0" collapsed="false">
      <c r="A476" s="19"/>
      <c r="B476" s="17"/>
      <c r="C476" s="17"/>
      <c r="D476" s="17"/>
      <c r="E476" s="18"/>
      <c r="F476" s="22"/>
      <c r="G476" s="22"/>
      <c r="H476" s="23" t="str">
        <f aca="false">IF(F476="","",MAX(0,F476-N(G476)))</f>
        <v/>
      </c>
      <c r="I476" s="17"/>
    </row>
    <row r="477" customFormat="false" ht="15" hidden="false" customHeight="false" outlineLevel="0" collapsed="false">
      <c r="A477" s="19"/>
      <c r="B477" s="17"/>
      <c r="C477" s="17"/>
      <c r="D477" s="17"/>
      <c r="E477" s="18"/>
      <c r="F477" s="22"/>
      <c r="G477" s="22"/>
      <c r="H477" s="23" t="str">
        <f aca="false">IF(F477="","",MAX(0,F477-N(G477)))</f>
        <v/>
      </c>
      <c r="I477" s="17"/>
    </row>
    <row r="478" customFormat="false" ht="15" hidden="false" customHeight="false" outlineLevel="0" collapsed="false">
      <c r="A478" s="19"/>
      <c r="B478" s="17"/>
      <c r="C478" s="17"/>
      <c r="D478" s="17"/>
      <c r="E478" s="18"/>
      <c r="F478" s="22"/>
      <c r="G478" s="22"/>
      <c r="H478" s="23" t="str">
        <f aca="false">IF(F478="","",MAX(0,F478-N(G478)))</f>
        <v/>
      </c>
      <c r="I478" s="17"/>
    </row>
    <row r="479" customFormat="false" ht="15" hidden="false" customHeight="false" outlineLevel="0" collapsed="false">
      <c r="A479" s="19"/>
      <c r="B479" s="17"/>
      <c r="C479" s="17"/>
      <c r="D479" s="17"/>
      <c r="E479" s="18"/>
      <c r="F479" s="22"/>
      <c r="G479" s="22"/>
      <c r="H479" s="23" t="str">
        <f aca="false">IF(F479="","",MAX(0,F479-N(G479)))</f>
        <v/>
      </c>
      <c r="I479" s="17"/>
    </row>
    <row r="480" customFormat="false" ht="15" hidden="false" customHeight="false" outlineLevel="0" collapsed="false">
      <c r="A480" s="19"/>
      <c r="B480" s="17"/>
      <c r="C480" s="17"/>
      <c r="D480" s="17"/>
      <c r="E480" s="18"/>
      <c r="F480" s="22"/>
      <c r="G480" s="22"/>
      <c r="H480" s="23" t="str">
        <f aca="false">IF(F480="","",MAX(0,F480-N(G480)))</f>
        <v/>
      </c>
      <c r="I480" s="17"/>
    </row>
    <row r="481" customFormat="false" ht="15" hidden="false" customHeight="false" outlineLevel="0" collapsed="false">
      <c r="A481" s="19"/>
      <c r="B481" s="17"/>
      <c r="C481" s="17"/>
      <c r="D481" s="17"/>
      <c r="E481" s="18"/>
      <c r="F481" s="22"/>
      <c r="G481" s="22"/>
      <c r="H481" s="23" t="str">
        <f aca="false">IF(F481="","",MAX(0,F481-N(G481)))</f>
        <v/>
      </c>
      <c r="I481" s="17"/>
    </row>
    <row r="482" customFormat="false" ht="15" hidden="false" customHeight="false" outlineLevel="0" collapsed="false">
      <c r="A482" s="19"/>
      <c r="B482" s="17"/>
      <c r="C482" s="17"/>
      <c r="D482" s="17"/>
      <c r="E482" s="18"/>
      <c r="F482" s="22"/>
      <c r="G482" s="22"/>
      <c r="H482" s="23" t="str">
        <f aca="false">IF(F482="","",MAX(0,F482-N(G482)))</f>
        <v/>
      </c>
      <c r="I482" s="17"/>
    </row>
    <row r="483" customFormat="false" ht="15" hidden="false" customHeight="false" outlineLevel="0" collapsed="false">
      <c r="A483" s="19"/>
      <c r="B483" s="17"/>
      <c r="C483" s="17"/>
      <c r="D483" s="17"/>
      <c r="E483" s="18"/>
      <c r="F483" s="22"/>
      <c r="G483" s="22"/>
      <c r="H483" s="23" t="str">
        <f aca="false">IF(F483="","",MAX(0,F483-N(G483)))</f>
        <v/>
      </c>
      <c r="I483" s="17"/>
    </row>
    <row r="484" customFormat="false" ht="15" hidden="false" customHeight="false" outlineLevel="0" collapsed="false">
      <c r="A484" s="19"/>
      <c r="B484" s="17"/>
      <c r="C484" s="17"/>
      <c r="D484" s="17"/>
      <c r="E484" s="18"/>
      <c r="F484" s="22"/>
      <c r="G484" s="22"/>
      <c r="H484" s="23" t="str">
        <f aca="false">IF(F484="","",MAX(0,F484-N(G484)))</f>
        <v/>
      </c>
      <c r="I484" s="17"/>
    </row>
    <row r="485" customFormat="false" ht="15" hidden="false" customHeight="false" outlineLevel="0" collapsed="false">
      <c r="A485" s="19"/>
      <c r="B485" s="17"/>
      <c r="C485" s="17"/>
      <c r="D485" s="17"/>
      <c r="E485" s="18"/>
      <c r="F485" s="22"/>
      <c r="G485" s="22"/>
      <c r="H485" s="23" t="str">
        <f aca="false">IF(F485="","",MAX(0,F485-N(G485)))</f>
        <v/>
      </c>
      <c r="I485" s="17"/>
    </row>
    <row r="486" customFormat="false" ht="15" hidden="false" customHeight="false" outlineLevel="0" collapsed="false">
      <c r="A486" s="19"/>
      <c r="B486" s="17"/>
      <c r="C486" s="17"/>
      <c r="D486" s="17"/>
      <c r="E486" s="18"/>
      <c r="F486" s="22"/>
      <c r="G486" s="22"/>
      <c r="H486" s="23" t="str">
        <f aca="false">IF(F486="","",MAX(0,F486-N(G486)))</f>
        <v/>
      </c>
      <c r="I486" s="17"/>
    </row>
    <row r="487" customFormat="false" ht="15" hidden="false" customHeight="false" outlineLevel="0" collapsed="false">
      <c r="A487" s="19"/>
      <c r="B487" s="17"/>
      <c r="C487" s="17"/>
      <c r="D487" s="17"/>
      <c r="E487" s="18"/>
      <c r="F487" s="22"/>
      <c r="G487" s="22"/>
      <c r="H487" s="23" t="str">
        <f aca="false">IF(F487="","",MAX(0,F487-N(G487)))</f>
        <v/>
      </c>
      <c r="I487" s="17"/>
    </row>
    <row r="488" customFormat="false" ht="15" hidden="false" customHeight="false" outlineLevel="0" collapsed="false">
      <c r="A488" s="19"/>
      <c r="B488" s="17"/>
      <c r="C488" s="17"/>
      <c r="D488" s="17"/>
      <c r="E488" s="18"/>
      <c r="F488" s="22"/>
      <c r="G488" s="22"/>
      <c r="H488" s="23" t="str">
        <f aca="false">IF(F488="","",MAX(0,F488-N(G488)))</f>
        <v/>
      </c>
      <c r="I488" s="17"/>
    </row>
    <row r="489" customFormat="false" ht="15" hidden="false" customHeight="false" outlineLevel="0" collapsed="false">
      <c r="A489" s="19"/>
      <c r="B489" s="17"/>
      <c r="C489" s="17"/>
      <c r="D489" s="17"/>
      <c r="E489" s="18"/>
      <c r="F489" s="22"/>
      <c r="G489" s="22"/>
      <c r="H489" s="23" t="str">
        <f aca="false">IF(F489="","",MAX(0,F489-N(G489)))</f>
        <v/>
      </c>
      <c r="I489" s="17"/>
    </row>
    <row r="490" customFormat="false" ht="15" hidden="false" customHeight="false" outlineLevel="0" collapsed="false">
      <c r="A490" s="19"/>
      <c r="B490" s="17"/>
      <c r="C490" s="17"/>
      <c r="D490" s="17"/>
      <c r="E490" s="18"/>
      <c r="F490" s="22"/>
      <c r="G490" s="22"/>
      <c r="H490" s="23" t="str">
        <f aca="false">IF(F490="","",MAX(0,F490-N(G490)))</f>
        <v/>
      </c>
      <c r="I490" s="17"/>
    </row>
    <row r="491" customFormat="false" ht="15" hidden="false" customHeight="false" outlineLevel="0" collapsed="false">
      <c r="A491" s="19"/>
      <c r="B491" s="17"/>
      <c r="C491" s="17"/>
      <c r="D491" s="17"/>
      <c r="E491" s="18"/>
      <c r="F491" s="22"/>
      <c r="G491" s="22"/>
      <c r="H491" s="23" t="str">
        <f aca="false">IF(F491="","",MAX(0,F491-N(G491)))</f>
        <v/>
      </c>
      <c r="I491" s="17"/>
    </row>
    <row r="492" customFormat="false" ht="15" hidden="false" customHeight="false" outlineLevel="0" collapsed="false">
      <c r="A492" s="19"/>
      <c r="B492" s="17"/>
      <c r="C492" s="17"/>
      <c r="D492" s="17"/>
      <c r="E492" s="18"/>
      <c r="F492" s="22"/>
      <c r="G492" s="22"/>
      <c r="H492" s="23" t="str">
        <f aca="false">IF(F492="","",MAX(0,F492-N(G492)))</f>
        <v/>
      </c>
      <c r="I492" s="17"/>
    </row>
    <row r="493" customFormat="false" ht="15" hidden="false" customHeight="false" outlineLevel="0" collapsed="false">
      <c r="A493" s="19"/>
      <c r="B493" s="17"/>
      <c r="C493" s="17"/>
      <c r="D493" s="17"/>
      <c r="E493" s="18"/>
      <c r="F493" s="22"/>
      <c r="G493" s="22"/>
      <c r="H493" s="23" t="str">
        <f aca="false">IF(F493="","",MAX(0,F493-N(G493)))</f>
        <v/>
      </c>
      <c r="I493" s="17"/>
    </row>
    <row r="494" customFormat="false" ht="15" hidden="false" customHeight="false" outlineLevel="0" collapsed="false">
      <c r="A494" s="19"/>
      <c r="B494" s="17"/>
      <c r="C494" s="17"/>
      <c r="D494" s="17"/>
      <c r="E494" s="18"/>
      <c r="F494" s="22"/>
      <c r="G494" s="22"/>
      <c r="H494" s="23" t="str">
        <f aca="false">IF(F494="","",MAX(0,F494-N(G494)))</f>
        <v/>
      </c>
      <c r="I494" s="17"/>
    </row>
    <row r="495" customFormat="false" ht="15" hidden="false" customHeight="false" outlineLevel="0" collapsed="false">
      <c r="A495" s="19"/>
      <c r="B495" s="17"/>
      <c r="C495" s="17"/>
      <c r="D495" s="17"/>
      <c r="E495" s="18"/>
      <c r="F495" s="22"/>
      <c r="G495" s="22"/>
      <c r="H495" s="23" t="str">
        <f aca="false">IF(F495="","",MAX(0,F495-N(G495)))</f>
        <v/>
      </c>
      <c r="I495" s="17"/>
    </row>
    <row r="496" customFormat="false" ht="15" hidden="false" customHeight="false" outlineLevel="0" collapsed="false">
      <c r="A496" s="19"/>
      <c r="B496" s="17"/>
      <c r="C496" s="17"/>
      <c r="D496" s="17"/>
      <c r="E496" s="18"/>
      <c r="F496" s="22"/>
      <c r="G496" s="22"/>
      <c r="H496" s="23" t="str">
        <f aca="false">IF(F496="","",MAX(0,F496-N(G496)))</f>
        <v/>
      </c>
      <c r="I496" s="17"/>
    </row>
    <row r="497" customFormat="false" ht="15" hidden="false" customHeight="false" outlineLevel="0" collapsed="false">
      <c r="A497" s="19"/>
      <c r="B497" s="17"/>
      <c r="C497" s="17"/>
      <c r="D497" s="17"/>
      <c r="E497" s="18"/>
      <c r="F497" s="22"/>
      <c r="G497" s="22"/>
      <c r="H497" s="23" t="str">
        <f aca="false">IF(F497="","",MAX(0,F497-N(G497)))</f>
        <v/>
      </c>
      <c r="I497" s="17"/>
    </row>
    <row r="498" customFormat="false" ht="15" hidden="false" customHeight="false" outlineLevel="0" collapsed="false">
      <c r="A498" s="19"/>
      <c r="B498" s="17"/>
      <c r="C498" s="17"/>
      <c r="D498" s="17"/>
      <c r="E498" s="18"/>
      <c r="F498" s="22"/>
      <c r="G498" s="22"/>
      <c r="H498" s="23" t="str">
        <f aca="false">IF(F498="","",MAX(0,F498-N(G498)))</f>
        <v/>
      </c>
      <c r="I498" s="17"/>
    </row>
    <row r="499" customFormat="false" ht="15" hidden="false" customHeight="false" outlineLevel="0" collapsed="false">
      <c r="A499" s="19"/>
      <c r="B499" s="17"/>
      <c r="C499" s="17"/>
      <c r="D499" s="17"/>
      <c r="E499" s="18"/>
      <c r="F499" s="22"/>
      <c r="G499" s="22"/>
      <c r="H499" s="23" t="str">
        <f aca="false">IF(F499="","",MAX(0,F499-N(G499)))</f>
        <v/>
      </c>
      <c r="I499" s="17"/>
    </row>
    <row r="500" customFormat="false" ht="15" hidden="false" customHeight="false" outlineLevel="0" collapsed="false">
      <c r="A500" s="19"/>
      <c r="B500" s="17"/>
      <c r="C500" s="17"/>
      <c r="D500" s="17"/>
      <c r="E500" s="18"/>
      <c r="F500" s="22"/>
      <c r="G500" s="22"/>
      <c r="H500" s="23" t="str">
        <f aca="false">IF(F500="","",MAX(0,F500-N(G500)))</f>
        <v/>
      </c>
      <c r="I500" s="17"/>
    </row>
    <row r="501" customFormat="false" ht="15" hidden="false" customHeight="false" outlineLevel="0" collapsed="false">
      <c r="A501" s="19"/>
      <c r="B501" s="17"/>
      <c r="C501" s="17"/>
      <c r="D501" s="17"/>
      <c r="E501" s="18"/>
      <c r="F501" s="22"/>
      <c r="G501" s="22"/>
      <c r="H501" s="23" t="str">
        <f aca="false">IF(F501="","",MAX(0,F501-N(G501)))</f>
        <v/>
      </c>
      <c r="I501" s="17"/>
    </row>
    <row r="502" customFormat="false" ht="15" hidden="false" customHeight="false" outlineLevel="0" collapsed="false">
      <c r="A502" s="19"/>
      <c r="B502" s="17"/>
      <c r="C502" s="17"/>
      <c r="D502" s="17"/>
      <c r="E502" s="18"/>
      <c r="F502" s="22"/>
      <c r="G502" s="22"/>
      <c r="H502" s="23" t="str">
        <f aca="false">IF(F502="","",MAX(0,F502-N(G502)))</f>
        <v/>
      </c>
      <c r="I502" s="17"/>
    </row>
    <row r="503" customFormat="false" ht="15" hidden="false" customHeight="false" outlineLevel="0" collapsed="false">
      <c r="A503" s="19"/>
      <c r="B503" s="17"/>
      <c r="C503" s="17"/>
      <c r="D503" s="17"/>
      <c r="E503" s="18"/>
      <c r="F503" s="22"/>
      <c r="G503" s="22"/>
      <c r="H503" s="23" t="str">
        <f aca="false">IF(F503="","",MAX(0,F503-N(G503)))</f>
        <v/>
      </c>
      <c r="I503" s="17"/>
    </row>
    <row r="504" customFormat="false" ht="15" hidden="false" customHeight="false" outlineLevel="0" collapsed="false">
      <c r="A504" s="19"/>
      <c r="B504" s="17"/>
      <c r="C504" s="17"/>
      <c r="D504" s="17"/>
      <c r="E504" s="18"/>
      <c r="F504" s="22"/>
      <c r="G504" s="22"/>
      <c r="H504" s="23" t="str">
        <f aca="false">IF(F504="","",MAX(0,F504-N(G504)))</f>
        <v/>
      </c>
      <c r="I504" s="17"/>
    </row>
    <row r="505" customFormat="false" ht="15" hidden="false" customHeight="false" outlineLevel="0" collapsed="false">
      <c r="A505" s="19"/>
      <c r="B505" s="17"/>
      <c r="C505" s="17"/>
      <c r="D505" s="17"/>
      <c r="E505" s="18"/>
      <c r="F505" s="22"/>
      <c r="G505" s="22"/>
      <c r="H505" s="23" t="str">
        <f aca="false">IF(F505="","",MAX(0,F505-N(G505)))</f>
        <v/>
      </c>
      <c r="I505" s="17"/>
    </row>
  </sheetData>
  <autoFilter ref="A4:I505"/>
  <conditionalFormatting sqref="E6:E505">
    <cfRule type="expression" priority="2" aboveAverage="0" equalAverage="0" bottom="0" percent="0" rank="0" text="" dxfId="6">
      <formula>AND($F6&lt;&gt;"",$E6="")</formula>
    </cfRule>
  </conditionalFormatting>
  <dataValidations count="5">
    <dataValidation allowBlank="true" error="Informe uma data válida (dd/mm/aaaa)." errorStyle="stop" errorTitle="Data inválida" operator="greaterThan" showDropDown="false" showErrorMessage="true" showInputMessage="false" sqref="A6:A505" type="date">
      <formula1>36526</formula1>
      <formula2>0</formula2>
    </dataValidation>
    <dataValidation allowBlank="true" error="Informe um número maior ou igual a zero." errorStyle="stop" errorTitle="Valor inválido" operator="greaterThanOrEqual" showDropDown="false" showErrorMessage="true" showInputMessage="false" sqref="F6:G505" type="decimal">
      <formula1>0</formula1>
      <formula2>0</formula2>
    </dataValidation>
    <dataValidation allowBlank="true" error="Escolha uma opção da lista." errorStyle="stop" errorTitle="Opção inválida" operator="between" showDropDown="false" showErrorMessage="true" showInputMessage="false" sqref="B6:B505" type="list">
      <formula1>Listas!$D$2:$D$10</formula1>
      <formula2>0</formula2>
    </dataValidation>
    <dataValidation allowBlank="true" error="Escolha uma opção da lista." errorStyle="stop" errorTitle="Opção inválida" operator="between" showDropDown="false" showErrorMessage="true" showInputMessage="false" sqref="C6:C505" type="list">
      <formula1>Listas!$F$2:$F$32</formula1>
      <formula2>0</formula2>
    </dataValidation>
    <dataValidation allowBlank="true" error="Informe 11 dígitos (CPF) ou 14 dígitos (CNPJ). Pontos, traço e barra são aceitos." errorStyle="stop" errorTitle="CPF/CNPJ inválido" operator="between" showDropDown="false" showErrorMessage="true" showInputMessage="false" sqref="E6:E505" type="custom">
      <formula1>AND(ISNUMBER(--SUBSTITUTE(SUBSTITUTE(SUBSTITUTE(E6,".",""),"-",""),"/","")),OR(LEN(SUBSTITUTE(SUBSTITUTE(SUBSTITUTE(E6,".",""),"-",""),"/",""))=11,LEN(SUBSTITUTE(SUBSTITUTE(SUBSTITUTE(E6,".",""),"-",""),"/",""))=14))</formula1>
      <formula2>0</formula2>
    </dataValidation>
  </dataValidations>
  <hyperlinks>
    <hyperlink ref="A3" location="'Menu'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6" min="5" style="0" width="2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7" t="s">
        <v>83</v>
      </c>
    </row>
    <row r="2" customFormat="false" ht="15" hidden="false" customHeight="false" outlineLevel="0" collapsed="false">
      <c r="A2" s="2" t="s">
        <v>84</v>
      </c>
    </row>
    <row r="3" customFormat="false" ht="15" hidden="false" customHeight="false" outlineLevel="0" collapsed="false">
      <c r="A3" s="8" t="s">
        <v>28</v>
      </c>
    </row>
    <row r="4" customFormat="false" ht="31.5" hidden="false" customHeight="true" outlineLevel="0" collapsed="false">
      <c r="A4" s="13" t="s">
        <v>85</v>
      </c>
      <c r="B4" s="13" t="s">
        <v>86</v>
      </c>
      <c r="C4" s="13" t="s">
        <v>87</v>
      </c>
      <c r="D4" s="13" t="s">
        <v>88</v>
      </c>
      <c r="E4" s="13" t="s">
        <v>89</v>
      </c>
      <c r="F4" s="13" t="s">
        <v>90</v>
      </c>
      <c r="G4" s="13" t="s">
        <v>61</v>
      </c>
    </row>
    <row r="5" customFormat="false" ht="15" hidden="false" customHeight="false" outlineLevel="0" collapsed="false">
      <c r="A5" s="14" t="s">
        <v>91</v>
      </c>
      <c r="B5" s="14" t="s">
        <v>92</v>
      </c>
      <c r="C5" s="16" t="n">
        <v>43110</v>
      </c>
      <c r="D5" s="15" t="s">
        <v>93</v>
      </c>
      <c r="E5" s="21" t="n">
        <v>3200</v>
      </c>
      <c r="F5" s="21" t="n">
        <v>4100</v>
      </c>
      <c r="G5" s="14" t="s">
        <v>94</v>
      </c>
    </row>
    <row r="6" customFormat="false" ht="15" hidden="false" customHeight="false" outlineLevel="0" collapsed="false">
      <c r="A6" s="17"/>
      <c r="B6" s="17"/>
      <c r="C6" s="19"/>
      <c r="D6" s="18"/>
      <c r="E6" s="22"/>
      <c r="F6" s="22"/>
      <c r="G6" s="17"/>
    </row>
    <row r="7" customFormat="false" ht="15" hidden="false" customHeight="false" outlineLevel="0" collapsed="false">
      <c r="A7" s="17"/>
      <c r="B7" s="17"/>
      <c r="C7" s="19"/>
      <c r="D7" s="18"/>
      <c r="E7" s="22"/>
      <c r="F7" s="22"/>
      <c r="G7" s="17"/>
    </row>
    <row r="8" customFormat="false" ht="15" hidden="false" customHeight="false" outlineLevel="0" collapsed="false">
      <c r="A8" s="17"/>
      <c r="B8" s="17"/>
      <c r="C8" s="19"/>
      <c r="D8" s="18"/>
      <c r="E8" s="22"/>
      <c r="F8" s="22"/>
      <c r="G8" s="17"/>
    </row>
    <row r="9" customFormat="false" ht="15" hidden="false" customHeight="false" outlineLevel="0" collapsed="false">
      <c r="A9" s="17"/>
      <c r="B9" s="17"/>
      <c r="C9" s="19"/>
      <c r="D9" s="18"/>
      <c r="E9" s="22"/>
      <c r="F9" s="22"/>
      <c r="G9" s="17"/>
    </row>
    <row r="10" customFormat="false" ht="15" hidden="false" customHeight="false" outlineLevel="0" collapsed="false">
      <c r="A10" s="17"/>
      <c r="B10" s="17"/>
      <c r="C10" s="19"/>
      <c r="D10" s="18"/>
      <c r="E10" s="22"/>
      <c r="F10" s="22"/>
      <c r="G10" s="17"/>
    </row>
    <row r="11" customFormat="false" ht="15" hidden="false" customHeight="false" outlineLevel="0" collapsed="false">
      <c r="A11" s="17"/>
      <c r="B11" s="17"/>
      <c r="C11" s="19"/>
      <c r="D11" s="18"/>
      <c r="E11" s="22"/>
      <c r="F11" s="22"/>
      <c r="G11" s="17"/>
    </row>
    <row r="12" customFormat="false" ht="15" hidden="false" customHeight="false" outlineLevel="0" collapsed="false">
      <c r="A12" s="17"/>
      <c r="B12" s="17"/>
      <c r="C12" s="19"/>
      <c r="D12" s="18"/>
      <c r="E12" s="22"/>
      <c r="F12" s="22"/>
      <c r="G12" s="17"/>
    </row>
    <row r="13" customFormat="false" ht="15" hidden="false" customHeight="false" outlineLevel="0" collapsed="false">
      <c r="A13" s="17"/>
      <c r="B13" s="17"/>
      <c r="C13" s="19"/>
      <c r="D13" s="18"/>
      <c r="E13" s="22"/>
      <c r="F13" s="22"/>
      <c r="G13" s="17"/>
    </row>
    <row r="14" customFormat="false" ht="15" hidden="false" customHeight="false" outlineLevel="0" collapsed="false">
      <c r="A14" s="17"/>
      <c r="B14" s="17"/>
      <c r="C14" s="19"/>
      <c r="D14" s="18"/>
      <c r="E14" s="22"/>
      <c r="F14" s="22"/>
      <c r="G14" s="17"/>
    </row>
    <row r="15" customFormat="false" ht="15" hidden="false" customHeight="false" outlineLevel="0" collapsed="false">
      <c r="A15" s="17"/>
      <c r="B15" s="17"/>
      <c r="C15" s="19"/>
      <c r="D15" s="18"/>
      <c r="E15" s="22"/>
      <c r="F15" s="22"/>
      <c r="G15" s="17"/>
    </row>
    <row r="16" customFormat="false" ht="15" hidden="false" customHeight="false" outlineLevel="0" collapsed="false">
      <c r="A16" s="17"/>
      <c r="B16" s="17"/>
      <c r="C16" s="19"/>
      <c r="D16" s="18"/>
      <c r="E16" s="22"/>
      <c r="F16" s="22"/>
      <c r="G16" s="17"/>
    </row>
    <row r="17" customFormat="false" ht="15" hidden="false" customHeight="false" outlineLevel="0" collapsed="false">
      <c r="A17" s="17"/>
      <c r="B17" s="17"/>
      <c r="C17" s="19"/>
      <c r="D17" s="18"/>
      <c r="E17" s="22"/>
      <c r="F17" s="22"/>
      <c r="G17" s="17"/>
    </row>
    <row r="18" customFormat="false" ht="15" hidden="false" customHeight="false" outlineLevel="0" collapsed="false">
      <c r="A18" s="17"/>
      <c r="B18" s="17"/>
      <c r="C18" s="19"/>
      <c r="D18" s="18"/>
      <c r="E18" s="22"/>
      <c r="F18" s="22"/>
      <c r="G18" s="17"/>
    </row>
    <row r="19" customFormat="false" ht="15" hidden="false" customHeight="false" outlineLevel="0" collapsed="false">
      <c r="A19" s="17"/>
      <c r="B19" s="17"/>
      <c r="C19" s="19"/>
      <c r="D19" s="18"/>
      <c r="E19" s="22"/>
      <c r="F19" s="22"/>
      <c r="G19" s="17"/>
    </row>
    <row r="20" customFormat="false" ht="15" hidden="false" customHeight="false" outlineLevel="0" collapsed="false">
      <c r="A20" s="17"/>
      <c r="B20" s="17"/>
      <c r="C20" s="19"/>
      <c r="D20" s="18"/>
      <c r="E20" s="22"/>
      <c r="F20" s="22"/>
      <c r="G20" s="17"/>
    </row>
    <row r="21" customFormat="false" ht="15" hidden="false" customHeight="false" outlineLevel="0" collapsed="false">
      <c r="A21" s="17"/>
      <c r="B21" s="17"/>
      <c r="C21" s="19"/>
      <c r="D21" s="18"/>
      <c r="E21" s="22"/>
      <c r="F21" s="22"/>
      <c r="G21" s="17"/>
    </row>
    <row r="22" customFormat="false" ht="15" hidden="false" customHeight="false" outlineLevel="0" collapsed="false">
      <c r="A22" s="17"/>
      <c r="B22" s="17"/>
      <c r="C22" s="19"/>
      <c r="D22" s="18"/>
      <c r="E22" s="22"/>
      <c r="F22" s="22"/>
      <c r="G22" s="17"/>
    </row>
    <row r="23" customFormat="false" ht="15" hidden="false" customHeight="false" outlineLevel="0" collapsed="false">
      <c r="A23" s="17"/>
      <c r="B23" s="17"/>
      <c r="C23" s="19"/>
      <c r="D23" s="18"/>
      <c r="E23" s="22"/>
      <c r="F23" s="22"/>
      <c r="G23" s="17"/>
    </row>
    <row r="24" customFormat="false" ht="15" hidden="false" customHeight="false" outlineLevel="0" collapsed="false">
      <c r="A24" s="17"/>
      <c r="B24" s="17"/>
      <c r="C24" s="19"/>
      <c r="D24" s="18"/>
      <c r="E24" s="22"/>
      <c r="F24" s="22"/>
      <c r="G24" s="17"/>
    </row>
    <row r="25" customFormat="false" ht="15" hidden="false" customHeight="false" outlineLevel="0" collapsed="false">
      <c r="A25" s="17"/>
      <c r="B25" s="17"/>
      <c r="C25" s="19"/>
      <c r="D25" s="18"/>
      <c r="E25" s="22"/>
      <c r="F25" s="22"/>
      <c r="G25" s="17"/>
    </row>
    <row r="26" customFormat="false" ht="15" hidden="false" customHeight="false" outlineLevel="0" collapsed="false">
      <c r="A26" s="17"/>
      <c r="B26" s="17"/>
      <c r="C26" s="19"/>
      <c r="D26" s="18"/>
      <c r="E26" s="22"/>
      <c r="F26" s="22"/>
      <c r="G26" s="17"/>
    </row>
    <row r="27" customFormat="false" ht="15" hidden="false" customHeight="false" outlineLevel="0" collapsed="false">
      <c r="A27" s="17"/>
      <c r="B27" s="17"/>
      <c r="C27" s="19"/>
      <c r="D27" s="18"/>
      <c r="E27" s="22"/>
      <c r="F27" s="22"/>
      <c r="G27" s="17"/>
    </row>
    <row r="28" customFormat="false" ht="15" hidden="false" customHeight="false" outlineLevel="0" collapsed="false">
      <c r="A28" s="17"/>
      <c r="B28" s="17"/>
      <c r="C28" s="19"/>
      <c r="D28" s="18"/>
      <c r="E28" s="22"/>
      <c r="F28" s="22"/>
      <c r="G28" s="17"/>
    </row>
    <row r="29" customFormat="false" ht="15" hidden="false" customHeight="false" outlineLevel="0" collapsed="false">
      <c r="A29" s="17"/>
      <c r="B29" s="17"/>
      <c r="C29" s="19"/>
      <c r="D29" s="18"/>
      <c r="E29" s="22"/>
      <c r="F29" s="22"/>
      <c r="G29" s="17"/>
    </row>
    <row r="30" customFormat="false" ht="15" hidden="false" customHeight="false" outlineLevel="0" collapsed="false">
      <c r="A30" s="17"/>
      <c r="B30" s="17"/>
      <c r="C30" s="19"/>
      <c r="D30" s="18"/>
      <c r="E30" s="22"/>
      <c r="F30" s="22"/>
      <c r="G30" s="17"/>
    </row>
    <row r="31" customFormat="false" ht="15" hidden="false" customHeight="false" outlineLevel="0" collapsed="false">
      <c r="A31" s="17"/>
      <c r="B31" s="17"/>
      <c r="C31" s="19"/>
      <c r="D31" s="18"/>
      <c r="E31" s="22"/>
      <c r="F31" s="22"/>
      <c r="G31" s="17"/>
    </row>
    <row r="32" customFormat="false" ht="15" hidden="false" customHeight="false" outlineLevel="0" collapsed="false">
      <c r="A32" s="17"/>
      <c r="B32" s="17"/>
      <c r="C32" s="19"/>
      <c r="D32" s="18"/>
      <c r="E32" s="22"/>
      <c r="F32" s="22"/>
      <c r="G32" s="17"/>
    </row>
    <row r="33" customFormat="false" ht="15" hidden="false" customHeight="false" outlineLevel="0" collapsed="false">
      <c r="A33" s="17"/>
      <c r="B33" s="17"/>
      <c r="C33" s="19"/>
      <c r="D33" s="18"/>
      <c r="E33" s="22"/>
      <c r="F33" s="22"/>
      <c r="G33" s="17"/>
    </row>
    <row r="34" customFormat="false" ht="15" hidden="false" customHeight="false" outlineLevel="0" collapsed="false">
      <c r="A34" s="17"/>
      <c r="B34" s="17"/>
      <c r="C34" s="19"/>
      <c r="D34" s="18"/>
      <c r="E34" s="22"/>
      <c r="F34" s="22"/>
      <c r="G34" s="17"/>
    </row>
    <row r="35" customFormat="false" ht="15" hidden="false" customHeight="false" outlineLevel="0" collapsed="false">
      <c r="A35" s="17"/>
      <c r="B35" s="17"/>
      <c r="C35" s="19"/>
      <c r="D35" s="18"/>
      <c r="E35" s="22"/>
      <c r="F35" s="22"/>
      <c r="G35" s="17"/>
    </row>
    <row r="36" customFormat="false" ht="15" hidden="false" customHeight="false" outlineLevel="0" collapsed="false">
      <c r="A36" s="17"/>
      <c r="B36" s="17"/>
      <c r="C36" s="19"/>
      <c r="D36" s="18"/>
      <c r="E36" s="22"/>
      <c r="F36" s="22"/>
      <c r="G36" s="17"/>
    </row>
    <row r="37" customFormat="false" ht="15" hidden="false" customHeight="false" outlineLevel="0" collapsed="false">
      <c r="A37" s="17"/>
      <c r="B37" s="17"/>
      <c r="C37" s="19"/>
      <c r="D37" s="18"/>
      <c r="E37" s="22"/>
      <c r="F37" s="22"/>
      <c r="G37" s="17"/>
    </row>
    <row r="38" customFormat="false" ht="15" hidden="false" customHeight="false" outlineLevel="0" collapsed="false">
      <c r="A38" s="17"/>
      <c r="B38" s="17"/>
      <c r="C38" s="19"/>
      <c r="D38" s="18"/>
      <c r="E38" s="22"/>
      <c r="F38" s="22"/>
      <c r="G38" s="17"/>
    </row>
    <row r="39" customFormat="false" ht="15" hidden="false" customHeight="false" outlineLevel="0" collapsed="false">
      <c r="A39" s="17"/>
      <c r="B39" s="17"/>
      <c r="C39" s="19"/>
      <c r="D39" s="18"/>
      <c r="E39" s="22"/>
      <c r="F39" s="22"/>
      <c r="G39" s="17"/>
    </row>
    <row r="40" customFormat="false" ht="15" hidden="false" customHeight="false" outlineLevel="0" collapsed="false">
      <c r="A40" s="17"/>
      <c r="B40" s="17"/>
      <c r="C40" s="19"/>
      <c r="D40" s="18"/>
      <c r="E40" s="22"/>
      <c r="F40" s="22"/>
      <c r="G40" s="17"/>
    </row>
    <row r="41" customFormat="false" ht="15" hidden="false" customHeight="false" outlineLevel="0" collapsed="false">
      <c r="A41" s="17"/>
      <c r="B41" s="17"/>
      <c r="C41" s="19"/>
      <c r="D41" s="18"/>
      <c r="E41" s="22"/>
      <c r="F41" s="22"/>
      <c r="G41" s="17"/>
    </row>
    <row r="42" customFormat="false" ht="15" hidden="false" customHeight="false" outlineLevel="0" collapsed="false">
      <c r="A42" s="17"/>
      <c r="B42" s="17"/>
      <c r="C42" s="19"/>
      <c r="D42" s="18"/>
      <c r="E42" s="22"/>
      <c r="F42" s="22"/>
      <c r="G42" s="17"/>
    </row>
    <row r="43" customFormat="false" ht="15" hidden="false" customHeight="false" outlineLevel="0" collapsed="false">
      <c r="A43" s="17"/>
      <c r="B43" s="17"/>
      <c r="C43" s="19"/>
      <c r="D43" s="18"/>
      <c r="E43" s="22"/>
      <c r="F43" s="22"/>
      <c r="G43" s="17"/>
    </row>
    <row r="44" customFormat="false" ht="15" hidden="false" customHeight="false" outlineLevel="0" collapsed="false">
      <c r="A44" s="17"/>
      <c r="B44" s="17"/>
      <c r="C44" s="19"/>
      <c r="D44" s="18"/>
      <c r="E44" s="22"/>
      <c r="F44" s="22"/>
      <c r="G44" s="17"/>
    </row>
    <row r="45" customFormat="false" ht="15" hidden="false" customHeight="false" outlineLevel="0" collapsed="false">
      <c r="A45" s="17"/>
      <c r="B45" s="17"/>
      <c r="C45" s="19"/>
      <c r="D45" s="18"/>
      <c r="E45" s="22"/>
      <c r="F45" s="22"/>
      <c r="G45" s="17"/>
    </row>
    <row r="46" customFormat="false" ht="15" hidden="false" customHeight="false" outlineLevel="0" collapsed="false">
      <c r="A46" s="17"/>
      <c r="B46" s="17"/>
      <c r="C46" s="19"/>
      <c r="D46" s="18"/>
      <c r="E46" s="22"/>
      <c r="F46" s="22"/>
      <c r="G46" s="17"/>
    </row>
    <row r="47" customFormat="false" ht="15" hidden="false" customHeight="false" outlineLevel="0" collapsed="false">
      <c r="A47" s="17"/>
      <c r="B47" s="17"/>
      <c r="C47" s="19"/>
      <c r="D47" s="18"/>
      <c r="E47" s="22"/>
      <c r="F47" s="22"/>
      <c r="G47" s="17"/>
    </row>
    <row r="48" customFormat="false" ht="15" hidden="false" customHeight="false" outlineLevel="0" collapsed="false">
      <c r="A48" s="17"/>
      <c r="B48" s="17"/>
      <c r="C48" s="19"/>
      <c r="D48" s="18"/>
      <c r="E48" s="22"/>
      <c r="F48" s="22"/>
      <c r="G48" s="17"/>
    </row>
    <row r="49" customFormat="false" ht="15" hidden="false" customHeight="false" outlineLevel="0" collapsed="false">
      <c r="A49" s="17"/>
      <c r="B49" s="17"/>
      <c r="C49" s="19"/>
      <c r="D49" s="18"/>
      <c r="E49" s="22"/>
      <c r="F49" s="22"/>
      <c r="G49" s="17"/>
    </row>
    <row r="50" customFormat="false" ht="15" hidden="false" customHeight="false" outlineLevel="0" collapsed="false">
      <c r="A50" s="17"/>
      <c r="B50" s="17"/>
      <c r="C50" s="19"/>
      <c r="D50" s="18"/>
      <c r="E50" s="22"/>
      <c r="F50" s="22"/>
      <c r="G50" s="17"/>
    </row>
    <row r="51" customFormat="false" ht="15" hidden="false" customHeight="false" outlineLevel="0" collapsed="false">
      <c r="A51" s="17"/>
      <c r="B51" s="17"/>
      <c r="C51" s="19"/>
      <c r="D51" s="18"/>
      <c r="E51" s="22"/>
      <c r="F51" s="22"/>
      <c r="G51" s="17"/>
    </row>
    <row r="52" customFormat="false" ht="15" hidden="false" customHeight="false" outlineLevel="0" collapsed="false">
      <c r="A52" s="17"/>
      <c r="B52" s="17"/>
      <c r="C52" s="19"/>
      <c r="D52" s="18"/>
      <c r="E52" s="22"/>
      <c r="F52" s="22"/>
      <c r="G52" s="17"/>
    </row>
    <row r="53" customFormat="false" ht="15" hidden="false" customHeight="false" outlineLevel="0" collapsed="false">
      <c r="A53" s="17"/>
      <c r="B53" s="17"/>
      <c r="C53" s="19"/>
      <c r="D53" s="18"/>
      <c r="E53" s="22"/>
      <c r="F53" s="22"/>
      <c r="G53" s="17"/>
    </row>
    <row r="54" customFormat="false" ht="15" hidden="false" customHeight="false" outlineLevel="0" collapsed="false">
      <c r="A54" s="17"/>
      <c r="B54" s="17"/>
      <c r="C54" s="19"/>
      <c r="D54" s="18"/>
      <c r="E54" s="22"/>
      <c r="F54" s="22"/>
      <c r="G54" s="17"/>
    </row>
    <row r="55" customFormat="false" ht="15" hidden="false" customHeight="false" outlineLevel="0" collapsed="false">
      <c r="A55" s="17"/>
      <c r="B55" s="17"/>
      <c r="C55" s="19"/>
      <c r="D55" s="18"/>
      <c r="E55" s="22"/>
      <c r="F55" s="22"/>
      <c r="G55" s="17"/>
    </row>
    <row r="56" customFormat="false" ht="15" hidden="false" customHeight="false" outlineLevel="0" collapsed="false">
      <c r="A56" s="17"/>
      <c r="B56" s="17"/>
      <c r="C56" s="19"/>
      <c r="D56" s="18"/>
      <c r="E56" s="22"/>
      <c r="F56" s="22"/>
      <c r="G56" s="17"/>
    </row>
    <row r="57" customFormat="false" ht="15" hidden="false" customHeight="false" outlineLevel="0" collapsed="false">
      <c r="A57" s="17"/>
      <c r="B57" s="17"/>
      <c r="C57" s="19"/>
      <c r="D57" s="18"/>
      <c r="E57" s="22"/>
      <c r="F57" s="22"/>
      <c r="G57" s="17"/>
    </row>
    <row r="58" customFormat="false" ht="15" hidden="false" customHeight="false" outlineLevel="0" collapsed="false">
      <c r="A58" s="17"/>
      <c r="B58" s="17"/>
      <c r="C58" s="19"/>
      <c r="D58" s="18"/>
      <c r="E58" s="22"/>
      <c r="F58" s="22"/>
      <c r="G58" s="17"/>
    </row>
    <row r="59" customFormat="false" ht="15" hidden="false" customHeight="false" outlineLevel="0" collapsed="false">
      <c r="A59" s="17"/>
      <c r="B59" s="17"/>
      <c r="C59" s="19"/>
      <c r="D59" s="18"/>
      <c r="E59" s="22"/>
      <c r="F59" s="22"/>
      <c r="G59" s="17"/>
    </row>
    <row r="60" customFormat="false" ht="15" hidden="false" customHeight="false" outlineLevel="0" collapsed="false">
      <c r="A60" s="17"/>
      <c r="B60" s="17"/>
      <c r="C60" s="19"/>
      <c r="D60" s="18"/>
      <c r="E60" s="22"/>
      <c r="F60" s="22"/>
      <c r="G60" s="17"/>
    </row>
    <row r="61" customFormat="false" ht="15" hidden="false" customHeight="false" outlineLevel="0" collapsed="false">
      <c r="A61" s="17"/>
      <c r="B61" s="17"/>
      <c r="C61" s="19"/>
      <c r="D61" s="18"/>
      <c r="E61" s="22"/>
      <c r="F61" s="22"/>
      <c r="G61" s="17"/>
    </row>
    <row r="62" customFormat="false" ht="15" hidden="false" customHeight="false" outlineLevel="0" collapsed="false">
      <c r="A62" s="17"/>
      <c r="B62" s="17"/>
      <c r="C62" s="19"/>
      <c r="D62" s="18"/>
      <c r="E62" s="22"/>
      <c r="F62" s="22"/>
      <c r="G62" s="17"/>
    </row>
    <row r="63" customFormat="false" ht="15" hidden="false" customHeight="false" outlineLevel="0" collapsed="false">
      <c r="A63" s="17"/>
      <c r="B63" s="17"/>
      <c r="C63" s="19"/>
      <c r="D63" s="18"/>
      <c r="E63" s="22"/>
      <c r="F63" s="22"/>
      <c r="G63" s="17"/>
    </row>
    <row r="64" customFormat="false" ht="15" hidden="false" customHeight="false" outlineLevel="0" collapsed="false">
      <c r="A64" s="17"/>
      <c r="B64" s="17"/>
      <c r="C64" s="19"/>
      <c r="D64" s="18"/>
      <c r="E64" s="22"/>
      <c r="F64" s="22"/>
      <c r="G64" s="17"/>
    </row>
    <row r="65" customFormat="false" ht="15" hidden="false" customHeight="false" outlineLevel="0" collapsed="false">
      <c r="A65" s="17"/>
      <c r="B65" s="17"/>
      <c r="C65" s="19"/>
      <c r="D65" s="18"/>
      <c r="E65" s="22"/>
      <c r="F65" s="22"/>
      <c r="G65" s="17"/>
    </row>
    <row r="66" customFormat="false" ht="15" hidden="false" customHeight="false" outlineLevel="0" collapsed="false">
      <c r="A66" s="17"/>
      <c r="B66" s="17"/>
      <c r="C66" s="19"/>
      <c r="D66" s="18"/>
      <c r="E66" s="22"/>
      <c r="F66" s="22"/>
      <c r="G66" s="17"/>
    </row>
    <row r="67" customFormat="false" ht="15" hidden="false" customHeight="false" outlineLevel="0" collapsed="false">
      <c r="A67" s="17"/>
      <c r="B67" s="17"/>
      <c r="C67" s="19"/>
      <c r="D67" s="18"/>
      <c r="E67" s="22"/>
      <c r="F67" s="22"/>
      <c r="G67" s="17"/>
    </row>
    <row r="68" customFormat="false" ht="15" hidden="false" customHeight="false" outlineLevel="0" collapsed="false">
      <c r="A68" s="17"/>
      <c r="B68" s="17"/>
      <c r="C68" s="19"/>
      <c r="D68" s="18"/>
      <c r="E68" s="22"/>
      <c r="F68" s="22"/>
      <c r="G68" s="17"/>
    </row>
    <row r="69" customFormat="false" ht="15" hidden="false" customHeight="false" outlineLevel="0" collapsed="false">
      <c r="A69" s="17"/>
      <c r="B69" s="17"/>
      <c r="C69" s="19"/>
      <c r="D69" s="18"/>
      <c r="E69" s="22"/>
      <c r="F69" s="22"/>
      <c r="G69" s="17"/>
    </row>
    <row r="70" customFormat="false" ht="15" hidden="false" customHeight="false" outlineLevel="0" collapsed="false">
      <c r="A70" s="17"/>
      <c r="B70" s="17"/>
      <c r="C70" s="19"/>
      <c r="D70" s="18"/>
      <c r="E70" s="22"/>
      <c r="F70" s="22"/>
      <c r="G70" s="17"/>
    </row>
    <row r="71" customFormat="false" ht="15" hidden="false" customHeight="false" outlineLevel="0" collapsed="false">
      <c r="A71" s="17"/>
      <c r="B71" s="17"/>
      <c r="C71" s="19"/>
      <c r="D71" s="18"/>
      <c r="E71" s="22"/>
      <c r="F71" s="22"/>
      <c r="G71" s="17"/>
    </row>
    <row r="72" customFormat="false" ht="15" hidden="false" customHeight="false" outlineLevel="0" collapsed="false">
      <c r="A72" s="17"/>
      <c r="B72" s="17"/>
      <c r="C72" s="19"/>
      <c r="D72" s="18"/>
      <c r="E72" s="22"/>
      <c r="F72" s="22"/>
      <c r="G72" s="17"/>
    </row>
    <row r="73" customFormat="false" ht="15" hidden="false" customHeight="false" outlineLevel="0" collapsed="false">
      <c r="A73" s="17"/>
      <c r="B73" s="17"/>
      <c r="C73" s="19"/>
      <c r="D73" s="18"/>
      <c r="E73" s="22"/>
      <c r="F73" s="22"/>
      <c r="G73" s="17"/>
    </row>
    <row r="74" customFormat="false" ht="15" hidden="false" customHeight="false" outlineLevel="0" collapsed="false">
      <c r="A74" s="17"/>
      <c r="B74" s="17"/>
      <c r="C74" s="19"/>
      <c r="D74" s="18"/>
      <c r="E74" s="22"/>
      <c r="F74" s="22"/>
      <c r="G74" s="17"/>
    </row>
    <row r="75" customFormat="false" ht="15" hidden="false" customHeight="false" outlineLevel="0" collapsed="false">
      <c r="A75" s="17"/>
      <c r="B75" s="17"/>
      <c r="C75" s="19"/>
      <c r="D75" s="18"/>
      <c r="E75" s="22"/>
      <c r="F75" s="22"/>
      <c r="G75" s="17"/>
    </row>
    <row r="76" customFormat="false" ht="15" hidden="false" customHeight="false" outlineLevel="0" collapsed="false">
      <c r="A76" s="17"/>
      <c r="B76" s="17"/>
      <c r="C76" s="19"/>
      <c r="D76" s="18"/>
      <c r="E76" s="22"/>
      <c r="F76" s="22"/>
      <c r="G76" s="17"/>
    </row>
    <row r="77" customFormat="false" ht="15" hidden="false" customHeight="false" outlineLevel="0" collapsed="false">
      <c r="A77" s="17"/>
      <c r="B77" s="17"/>
      <c r="C77" s="19"/>
      <c r="D77" s="18"/>
      <c r="E77" s="22"/>
      <c r="F77" s="22"/>
      <c r="G77" s="17"/>
    </row>
    <row r="78" customFormat="false" ht="15" hidden="false" customHeight="false" outlineLevel="0" collapsed="false">
      <c r="A78" s="17"/>
      <c r="B78" s="17"/>
      <c r="C78" s="19"/>
      <c r="D78" s="18"/>
      <c r="E78" s="22"/>
      <c r="F78" s="22"/>
      <c r="G78" s="17"/>
    </row>
    <row r="79" customFormat="false" ht="15" hidden="false" customHeight="false" outlineLevel="0" collapsed="false">
      <c r="A79" s="17"/>
      <c r="B79" s="17"/>
      <c r="C79" s="19"/>
      <c r="D79" s="18"/>
      <c r="E79" s="22"/>
      <c r="F79" s="22"/>
      <c r="G79" s="17"/>
    </row>
    <row r="80" customFormat="false" ht="15" hidden="false" customHeight="false" outlineLevel="0" collapsed="false">
      <c r="A80" s="17"/>
      <c r="B80" s="17"/>
      <c r="C80" s="19"/>
      <c r="D80" s="18"/>
      <c r="E80" s="22"/>
      <c r="F80" s="22"/>
      <c r="G80" s="17"/>
    </row>
    <row r="81" customFormat="false" ht="15" hidden="false" customHeight="false" outlineLevel="0" collapsed="false">
      <c r="A81" s="17"/>
      <c r="B81" s="17"/>
      <c r="C81" s="19"/>
      <c r="D81" s="18"/>
      <c r="E81" s="22"/>
      <c r="F81" s="22"/>
      <c r="G81" s="17"/>
    </row>
    <row r="82" customFormat="false" ht="15" hidden="false" customHeight="false" outlineLevel="0" collapsed="false">
      <c r="A82" s="17"/>
      <c r="B82" s="17"/>
      <c r="C82" s="19"/>
      <c r="D82" s="18"/>
      <c r="E82" s="22"/>
      <c r="F82" s="22"/>
      <c r="G82" s="17"/>
    </row>
    <row r="83" customFormat="false" ht="15" hidden="false" customHeight="false" outlineLevel="0" collapsed="false">
      <c r="A83" s="17"/>
      <c r="B83" s="17"/>
      <c r="C83" s="19"/>
      <c r="D83" s="18"/>
      <c r="E83" s="22"/>
      <c r="F83" s="22"/>
      <c r="G83" s="17"/>
    </row>
    <row r="84" customFormat="false" ht="15" hidden="false" customHeight="false" outlineLevel="0" collapsed="false">
      <c r="A84" s="17"/>
      <c r="B84" s="17"/>
      <c r="C84" s="19"/>
      <c r="D84" s="18"/>
      <c r="E84" s="22"/>
      <c r="F84" s="22"/>
      <c r="G84" s="17"/>
    </row>
    <row r="85" customFormat="false" ht="15" hidden="false" customHeight="false" outlineLevel="0" collapsed="false">
      <c r="A85" s="17"/>
      <c r="B85" s="17"/>
      <c r="C85" s="19"/>
      <c r="D85" s="18"/>
      <c r="E85" s="22"/>
      <c r="F85" s="22"/>
      <c r="G85" s="17"/>
    </row>
    <row r="86" customFormat="false" ht="15" hidden="false" customHeight="false" outlineLevel="0" collapsed="false">
      <c r="A86" s="17"/>
      <c r="B86" s="17"/>
      <c r="C86" s="19"/>
      <c r="D86" s="18"/>
      <c r="E86" s="22"/>
      <c r="F86" s="22"/>
      <c r="G86" s="17"/>
    </row>
    <row r="87" customFormat="false" ht="15" hidden="false" customHeight="false" outlineLevel="0" collapsed="false">
      <c r="A87" s="17"/>
      <c r="B87" s="17"/>
      <c r="C87" s="19"/>
      <c r="D87" s="18"/>
      <c r="E87" s="22"/>
      <c r="F87" s="22"/>
      <c r="G87" s="17"/>
    </row>
    <row r="88" customFormat="false" ht="15" hidden="false" customHeight="false" outlineLevel="0" collapsed="false">
      <c r="A88" s="17"/>
      <c r="B88" s="17"/>
      <c r="C88" s="19"/>
      <c r="D88" s="18"/>
      <c r="E88" s="22"/>
      <c r="F88" s="22"/>
      <c r="G88" s="17"/>
    </row>
    <row r="89" customFormat="false" ht="15" hidden="false" customHeight="false" outlineLevel="0" collapsed="false">
      <c r="A89" s="17"/>
      <c r="B89" s="17"/>
      <c r="C89" s="19"/>
      <c r="D89" s="18"/>
      <c r="E89" s="22"/>
      <c r="F89" s="22"/>
      <c r="G89" s="17"/>
    </row>
    <row r="90" customFormat="false" ht="15" hidden="false" customHeight="false" outlineLevel="0" collapsed="false">
      <c r="A90" s="17"/>
      <c r="B90" s="17"/>
      <c r="C90" s="19"/>
      <c r="D90" s="18"/>
      <c r="E90" s="22"/>
      <c r="F90" s="22"/>
      <c r="G90" s="17"/>
    </row>
    <row r="91" customFormat="false" ht="15" hidden="false" customHeight="false" outlineLevel="0" collapsed="false">
      <c r="A91" s="17"/>
      <c r="B91" s="17"/>
      <c r="C91" s="19"/>
      <c r="D91" s="18"/>
      <c r="E91" s="22"/>
      <c r="F91" s="22"/>
      <c r="G91" s="17"/>
    </row>
    <row r="92" customFormat="false" ht="15" hidden="false" customHeight="false" outlineLevel="0" collapsed="false">
      <c r="A92" s="17"/>
      <c r="B92" s="17"/>
      <c r="C92" s="19"/>
      <c r="D92" s="18"/>
      <c r="E92" s="22"/>
      <c r="F92" s="22"/>
      <c r="G92" s="17"/>
    </row>
    <row r="93" customFormat="false" ht="15" hidden="false" customHeight="false" outlineLevel="0" collapsed="false">
      <c r="A93" s="17"/>
      <c r="B93" s="17"/>
      <c r="C93" s="19"/>
      <c r="D93" s="18"/>
      <c r="E93" s="22"/>
      <c r="F93" s="22"/>
      <c r="G93" s="17"/>
    </row>
    <row r="94" customFormat="false" ht="15" hidden="false" customHeight="false" outlineLevel="0" collapsed="false">
      <c r="A94" s="17"/>
      <c r="B94" s="17"/>
      <c r="C94" s="19"/>
      <c r="D94" s="18"/>
      <c r="E94" s="22"/>
      <c r="F94" s="22"/>
      <c r="G94" s="17"/>
    </row>
    <row r="95" customFormat="false" ht="15" hidden="false" customHeight="false" outlineLevel="0" collapsed="false">
      <c r="A95" s="17"/>
      <c r="B95" s="17"/>
      <c r="C95" s="19"/>
      <c r="D95" s="18"/>
      <c r="E95" s="22"/>
      <c r="F95" s="22"/>
      <c r="G95" s="17"/>
    </row>
    <row r="96" customFormat="false" ht="15" hidden="false" customHeight="false" outlineLevel="0" collapsed="false">
      <c r="A96" s="17"/>
      <c r="B96" s="17"/>
      <c r="C96" s="19"/>
      <c r="D96" s="18"/>
      <c r="E96" s="22"/>
      <c r="F96" s="22"/>
      <c r="G96" s="17"/>
    </row>
    <row r="97" customFormat="false" ht="15" hidden="false" customHeight="false" outlineLevel="0" collapsed="false">
      <c r="A97" s="17"/>
      <c r="B97" s="17"/>
      <c r="C97" s="19"/>
      <c r="D97" s="18"/>
      <c r="E97" s="22"/>
      <c r="F97" s="22"/>
      <c r="G97" s="17"/>
    </row>
    <row r="98" customFormat="false" ht="15" hidden="false" customHeight="false" outlineLevel="0" collapsed="false">
      <c r="A98" s="17"/>
      <c r="B98" s="17"/>
      <c r="C98" s="19"/>
      <c r="D98" s="18"/>
      <c r="E98" s="22"/>
      <c r="F98" s="22"/>
      <c r="G98" s="17"/>
    </row>
    <row r="99" customFormat="false" ht="15" hidden="false" customHeight="false" outlineLevel="0" collapsed="false">
      <c r="A99" s="17"/>
      <c r="B99" s="17"/>
      <c r="C99" s="19"/>
      <c r="D99" s="18"/>
      <c r="E99" s="22"/>
      <c r="F99" s="22"/>
      <c r="G99" s="17"/>
    </row>
    <row r="100" customFormat="false" ht="15" hidden="false" customHeight="false" outlineLevel="0" collapsed="false">
      <c r="A100" s="17"/>
      <c r="B100" s="17"/>
      <c r="C100" s="19"/>
      <c r="D100" s="18"/>
      <c r="E100" s="22"/>
      <c r="F100" s="22"/>
      <c r="G100" s="17"/>
    </row>
    <row r="101" customFormat="false" ht="15" hidden="false" customHeight="false" outlineLevel="0" collapsed="false">
      <c r="A101" s="17"/>
      <c r="B101" s="17"/>
      <c r="C101" s="19"/>
      <c r="D101" s="18"/>
      <c r="E101" s="22"/>
      <c r="F101" s="22"/>
      <c r="G101" s="17"/>
    </row>
    <row r="102" customFormat="false" ht="15" hidden="false" customHeight="false" outlineLevel="0" collapsed="false">
      <c r="A102" s="17"/>
      <c r="B102" s="17"/>
      <c r="C102" s="19"/>
      <c r="D102" s="18"/>
      <c r="E102" s="22"/>
      <c r="F102" s="22"/>
      <c r="G102" s="17"/>
    </row>
    <row r="103" customFormat="false" ht="15" hidden="false" customHeight="false" outlineLevel="0" collapsed="false">
      <c r="A103" s="17"/>
      <c r="B103" s="17"/>
      <c r="C103" s="19"/>
      <c r="D103" s="18"/>
      <c r="E103" s="22"/>
      <c r="F103" s="22"/>
      <c r="G103" s="17"/>
    </row>
    <row r="104" customFormat="false" ht="15" hidden="false" customHeight="false" outlineLevel="0" collapsed="false">
      <c r="A104" s="17"/>
      <c r="B104" s="17"/>
      <c r="C104" s="19"/>
      <c r="D104" s="18"/>
      <c r="E104" s="22"/>
      <c r="F104" s="22"/>
      <c r="G104" s="17"/>
    </row>
    <row r="105" customFormat="false" ht="15" hidden="false" customHeight="false" outlineLevel="0" collapsed="false">
      <c r="A105" s="17"/>
      <c r="B105" s="17"/>
      <c r="C105" s="19"/>
      <c r="D105" s="18"/>
      <c r="E105" s="22"/>
      <c r="F105" s="22"/>
      <c r="G105" s="17"/>
    </row>
    <row r="106" customFormat="false" ht="15" hidden="false" customHeight="false" outlineLevel="0" collapsed="false">
      <c r="A106" s="17"/>
      <c r="B106" s="17"/>
      <c r="C106" s="19"/>
      <c r="D106" s="18"/>
      <c r="E106" s="22"/>
      <c r="F106" s="22"/>
      <c r="G106" s="17"/>
    </row>
    <row r="107" customFormat="false" ht="15" hidden="false" customHeight="false" outlineLevel="0" collapsed="false">
      <c r="A107" s="17"/>
      <c r="B107" s="17"/>
      <c r="C107" s="19"/>
      <c r="D107" s="18"/>
      <c r="E107" s="22"/>
      <c r="F107" s="22"/>
      <c r="G107" s="17"/>
    </row>
    <row r="108" customFormat="false" ht="15" hidden="false" customHeight="false" outlineLevel="0" collapsed="false">
      <c r="A108" s="17"/>
      <c r="B108" s="17"/>
      <c r="C108" s="19"/>
      <c r="D108" s="18"/>
      <c r="E108" s="22"/>
      <c r="F108" s="22"/>
      <c r="G108" s="17"/>
    </row>
    <row r="109" customFormat="false" ht="15" hidden="false" customHeight="false" outlineLevel="0" collapsed="false">
      <c r="A109" s="17"/>
      <c r="B109" s="17"/>
      <c r="C109" s="19"/>
      <c r="D109" s="18"/>
      <c r="E109" s="22"/>
      <c r="F109" s="22"/>
      <c r="G109" s="17"/>
    </row>
    <row r="110" customFormat="false" ht="15" hidden="false" customHeight="false" outlineLevel="0" collapsed="false">
      <c r="A110" s="17"/>
      <c r="B110" s="17"/>
      <c r="C110" s="19"/>
      <c r="D110" s="18"/>
      <c r="E110" s="22"/>
      <c r="F110" s="22"/>
      <c r="G110" s="17"/>
    </row>
    <row r="111" customFormat="false" ht="15" hidden="false" customHeight="false" outlineLevel="0" collapsed="false">
      <c r="A111" s="17"/>
      <c r="B111" s="17"/>
      <c r="C111" s="19"/>
      <c r="D111" s="18"/>
      <c r="E111" s="22"/>
      <c r="F111" s="22"/>
      <c r="G111" s="17"/>
    </row>
    <row r="112" customFormat="false" ht="15" hidden="false" customHeight="false" outlineLevel="0" collapsed="false">
      <c r="A112" s="17"/>
      <c r="B112" s="17"/>
      <c r="C112" s="19"/>
      <c r="D112" s="18"/>
      <c r="E112" s="22"/>
      <c r="F112" s="22"/>
      <c r="G112" s="17"/>
    </row>
    <row r="113" customFormat="false" ht="15" hidden="false" customHeight="false" outlineLevel="0" collapsed="false">
      <c r="A113" s="17"/>
      <c r="B113" s="17"/>
      <c r="C113" s="19"/>
      <c r="D113" s="18"/>
      <c r="E113" s="22"/>
      <c r="F113" s="22"/>
      <c r="G113" s="17"/>
    </row>
    <row r="114" customFormat="false" ht="15" hidden="false" customHeight="false" outlineLevel="0" collapsed="false">
      <c r="A114" s="17"/>
      <c r="B114" s="17"/>
      <c r="C114" s="19"/>
      <c r="D114" s="18"/>
      <c r="E114" s="22"/>
      <c r="F114" s="22"/>
      <c r="G114" s="17"/>
    </row>
    <row r="115" customFormat="false" ht="15" hidden="false" customHeight="false" outlineLevel="0" collapsed="false">
      <c r="A115" s="17"/>
      <c r="B115" s="17"/>
      <c r="C115" s="19"/>
      <c r="D115" s="18"/>
      <c r="E115" s="22"/>
      <c r="F115" s="22"/>
      <c r="G115" s="17"/>
    </row>
    <row r="116" customFormat="false" ht="15" hidden="false" customHeight="false" outlineLevel="0" collapsed="false">
      <c r="A116" s="17"/>
      <c r="B116" s="17"/>
      <c r="C116" s="19"/>
      <c r="D116" s="18"/>
      <c r="E116" s="22"/>
      <c r="F116" s="22"/>
      <c r="G116" s="17"/>
    </row>
    <row r="117" customFormat="false" ht="15" hidden="false" customHeight="false" outlineLevel="0" collapsed="false">
      <c r="A117" s="17"/>
      <c r="B117" s="17"/>
      <c r="C117" s="19"/>
      <c r="D117" s="18"/>
      <c r="E117" s="22"/>
      <c r="F117" s="22"/>
      <c r="G117" s="17"/>
    </row>
    <row r="118" customFormat="false" ht="15" hidden="false" customHeight="false" outlineLevel="0" collapsed="false">
      <c r="A118" s="17"/>
      <c r="B118" s="17"/>
      <c r="C118" s="19"/>
      <c r="D118" s="18"/>
      <c r="E118" s="22"/>
      <c r="F118" s="22"/>
      <c r="G118" s="17"/>
    </row>
    <row r="119" customFormat="false" ht="15" hidden="false" customHeight="false" outlineLevel="0" collapsed="false">
      <c r="A119" s="17"/>
      <c r="B119" s="17"/>
      <c r="C119" s="19"/>
      <c r="D119" s="18"/>
      <c r="E119" s="22"/>
      <c r="F119" s="22"/>
      <c r="G119" s="17"/>
    </row>
    <row r="120" customFormat="false" ht="15" hidden="false" customHeight="false" outlineLevel="0" collapsed="false">
      <c r="A120" s="17"/>
      <c r="B120" s="17"/>
      <c r="C120" s="19"/>
      <c r="D120" s="18"/>
      <c r="E120" s="22"/>
      <c r="F120" s="22"/>
      <c r="G120" s="17"/>
    </row>
    <row r="121" customFormat="false" ht="15" hidden="false" customHeight="false" outlineLevel="0" collapsed="false">
      <c r="A121" s="17"/>
      <c r="B121" s="17"/>
      <c r="C121" s="19"/>
      <c r="D121" s="18"/>
      <c r="E121" s="22"/>
      <c r="F121" s="22"/>
      <c r="G121" s="17"/>
    </row>
    <row r="122" customFormat="false" ht="15" hidden="false" customHeight="false" outlineLevel="0" collapsed="false">
      <c r="A122" s="17"/>
      <c r="B122" s="17"/>
      <c r="C122" s="19"/>
      <c r="D122" s="18"/>
      <c r="E122" s="22"/>
      <c r="F122" s="22"/>
      <c r="G122" s="17"/>
    </row>
    <row r="123" customFormat="false" ht="15" hidden="false" customHeight="false" outlineLevel="0" collapsed="false">
      <c r="A123" s="17"/>
      <c r="B123" s="17"/>
      <c r="C123" s="19"/>
      <c r="D123" s="18"/>
      <c r="E123" s="22"/>
      <c r="F123" s="22"/>
      <c r="G123" s="17"/>
    </row>
    <row r="124" customFormat="false" ht="15" hidden="false" customHeight="false" outlineLevel="0" collapsed="false">
      <c r="A124" s="17"/>
      <c r="B124" s="17"/>
      <c r="C124" s="19"/>
      <c r="D124" s="18"/>
      <c r="E124" s="22"/>
      <c r="F124" s="22"/>
      <c r="G124" s="17"/>
    </row>
    <row r="125" customFormat="false" ht="15" hidden="false" customHeight="false" outlineLevel="0" collapsed="false">
      <c r="A125" s="17"/>
      <c r="B125" s="17"/>
      <c r="C125" s="19"/>
      <c r="D125" s="18"/>
      <c r="E125" s="22"/>
      <c r="F125" s="22"/>
      <c r="G125" s="17"/>
    </row>
    <row r="126" customFormat="false" ht="15" hidden="false" customHeight="false" outlineLevel="0" collapsed="false">
      <c r="A126" s="17"/>
      <c r="B126" s="17"/>
      <c r="C126" s="19"/>
      <c r="D126" s="18"/>
      <c r="E126" s="22"/>
      <c r="F126" s="22"/>
      <c r="G126" s="17"/>
    </row>
    <row r="127" customFormat="false" ht="15" hidden="false" customHeight="false" outlineLevel="0" collapsed="false">
      <c r="A127" s="17"/>
      <c r="B127" s="17"/>
      <c r="C127" s="19"/>
      <c r="D127" s="18"/>
      <c r="E127" s="22"/>
      <c r="F127" s="22"/>
      <c r="G127" s="17"/>
    </row>
    <row r="128" customFormat="false" ht="15" hidden="false" customHeight="false" outlineLevel="0" collapsed="false">
      <c r="A128" s="17"/>
      <c r="B128" s="17"/>
      <c r="C128" s="19"/>
      <c r="D128" s="18"/>
      <c r="E128" s="22"/>
      <c r="F128" s="22"/>
      <c r="G128" s="17"/>
    </row>
    <row r="129" customFormat="false" ht="15" hidden="false" customHeight="false" outlineLevel="0" collapsed="false">
      <c r="A129" s="17"/>
      <c r="B129" s="17"/>
      <c r="C129" s="19"/>
      <c r="D129" s="18"/>
      <c r="E129" s="22"/>
      <c r="F129" s="22"/>
      <c r="G129" s="17"/>
    </row>
    <row r="130" customFormat="false" ht="15" hidden="false" customHeight="false" outlineLevel="0" collapsed="false">
      <c r="A130" s="17"/>
      <c r="B130" s="17"/>
      <c r="C130" s="19"/>
      <c r="D130" s="18"/>
      <c r="E130" s="22"/>
      <c r="F130" s="22"/>
      <c r="G130" s="17"/>
    </row>
    <row r="131" customFormat="false" ht="15" hidden="false" customHeight="false" outlineLevel="0" collapsed="false">
      <c r="A131" s="17"/>
      <c r="B131" s="17"/>
      <c r="C131" s="19"/>
      <c r="D131" s="18"/>
      <c r="E131" s="22"/>
      <c r="F131" s="22"/>
      <c r="G131" s="17"/>
    </row>
    <row r="132" customFormat="false" ht="15" hidden="false" customHeight="false" outlineLevel="0" collapsed="false">
      <c r="A132" s="17"/>
      <c r="B132" s="17"/>
      <c r="C132" s="19"/>
      <c r="D132" s="18"/>
      <c r="E132" s="22"/>
      <c r="F132" s="22"/>
      <c r="G132" s="17"/>
    </row>
    <row r="133" customFormat="false" ht="15" hidden="false" customHeight="false" outlineLevel="0" collapsed="false">
      <c r="A133" s="17"/>
      <c r="B133" s="17"/>
      <c r="C133" s="19"/>
      <c r="D133" s="18"/>
      <c r="E133" s="22"/>
      <c r="F133" s="22"/>
      <c r="G133" s="17"/>
    </row>
    <row r="134" customFormat="false" ht="15" hidden="false" customHeight="false" outlineLevel="0" collapsed="false">
      <c r="A134" s="17"/>
      <c r="B134" s="17"/>
      <c r="C134" s="19"/>
      <c r="D134" s="18"/>
      <c r="E134" s="22"/>
      <c r="F134" s="22"/>
      <c r="G134" s="17"/>
    </row>
    <row r="135" customFormat="false" ht="15" hidden="false" customHeight="false" outlineLevel="0" collapsed="false">
      <c r="A135" s="17"/>
      <c r="B135" s="17"/>
      <c r="C135" s="19"/>
      <c r="D135" s="18"/>
      <c r="E135" s="22"/>
      <c r="F135" s="22"/>
      <c r="G135" s="17"/>
    </row>
    <row r="136" customFormat="false" ht="15" hidden="false" customHeight="false" outlineLevel="0" collapsed="false">
      <c r="A136" s="17"/>
      <c r="B136" s="17"/>
      <c r="C136" s="19"/>
      <c r="D136" s="18"/>
      <c r="E136" s="22"/>
      <c r="F136" s="22"/>
      <c r="G136" s="17"/>
    </row>
    <row r="137" customFormat="false" ht="15" hidden="false" customHeight="false" outlineLevel="0" collapsed="false">
      <c r="A137" s="17"/>
      <c r="B137" s="17"/>
      <c r="C137" s="19"/>
      <c r="D137" s="18"/>
      <c r="E137" s="22"/>
      <c r="F137" s="22"/>
      <c r="G137" s="17"/>
    </row>
    <row r="138" customFormat="false" ht="15" hidden="false" customHeight="false" outlineLevel="0" collapsed="false">
      <c r="A138" s="17"/>
      <c r="B138" s="17"/>
      <c r="C138" s="19"/>
      <c r="D138" s="18"/>
      <c r="E138" s="22"/>
      <c r="F138" s="22"/>
      <c r="G138" s="17"/>
    </row>
    <row r="139" customFormat="false" ht="15" hidden="false" customHeight="false" outlineLevel="0" collapsed="false">
      <c r="A139" s="17"/>
      <c r="B139" s="17"/>
      <c r="C139" s="19"/>
      <c r="D139" s="18"/>
      <c r="E139" s="22"/>
      <c r="F139" s="22"/>
      <c r="G139" s="17"/>
    </row>
    <row r="140" customFormat="false" ht="15" hidden="false" customHeight="false" outlineLevel="0" collapsed="false">
      <c r="A140" s="17"/>
      <c r="B140" s="17"/>
      <c r="C140" s="19"/>
      <c r="D140" s="18"/>
      <c r="E140" s="22"/>
      <c r="F140" s="22"/>
      <c r="G140" s="17"/>
    </row>
    <row r="141" customFormat="false" ht="15" hidden="false" customHeight="false" outlineLevel="0" collapsed="false">
      <c r="A141" s="17"/>
      <c r="B141" s="17"/>
      <c r="C141" s="19"/>
      <c r="D141" s="18"/>
      <c r="E141" s="22"/>
      <c r="F141" s="22"/>
      <c r="G141" s="17"/>
    </row>
    <row r="142" customFormat="false" ht="15" hidden="false" customHeight="false" outlineLevel="0" collapsed="false">
      <c r="A142" s="17"/>
      <c r="B142" s="17"/>
      <c r="C142" s="19"/>
      <c r="D142" s="18"/>
      <c r="E142" s="22"/>
      <c r="F142" s="22"/>
      <c r="G142" s="17"/>
    </row>
    <row r="143" customFormat="false" ht="15" hidden="false" customHeight="false" outlineLevel="0" collapsed="false">
      <c r="A143" s="17"/>
      <c r="B143" s="17"/>
      <c r="C143" s="19"/>
      <c r="D143" s="18"/>
      <c r="E143" s="22"/>
      <c r="F143" s="22"/>
      <c r="G143" s="17"/>
    </row>
    <row r="144" customFormat="false" ht="15" hidden="false" customHeight="false" outlineLevel="0" collapsed="false">
      <c r="A144" s="17"/>
      <c r="B144" s="17"/>
      <c r="C144" s="19"/>
      <c r="D144" s="18"/>
      <c r="E144" s="22"/>
      <c r="F144" s="22"/>
      <c r="G144" s="17"/>
    </row>
    <row r="145" customFormat="false" ht="15" hidden="false" customHeight="false" outlineLevel="0" collapsed="false">
      <c r="A145" s="17"/>
      <c r="B145" s="17"/>
      <c r="C145" s="19"/>
      <c r="D145" s="18"/>
      <c r="E145" s="22"/>
      <c r="F145" s="22"/>
      <c r="G145" s="17"/>
    </row>
    <row r="146" customFormat="false" ht="15" hidden="false" customHeight="false" outlineLevel="0" collapsed="false">
      <c r="A146" s="17"/>
      <c r="B146" s="17"/>
      <c r="C146" s="19"/>
      <c r="D146" s="18"/>
      <c r="E146" s="22"/>
      <c r="F146" s="22"/>
      <c r="G146" s="17"/>
    </row>
    <row r="147" customFormat="false" ht="15" hidden="false" customHeight="false" outlineLevel="0" collapsed="false">
      <c r="A147" s="17"/>
      <c r="B147" s="17"/>
      <c r="C147" s="19"/>
      <c r="D147" s="18"/>
      <c r="E147" s="22"/>
      <c r="F147" s="22"/>
      <c r="G147" s="17"/>
    </row>
    <row r="148" customFormat="false" ht="15" hidden="false" customHeight="false" outlineLevel="0" collapsed="false">
      <c r="A148" s="17"/>
      <c r="B148" s="17"/>
      <c r="C148" s="19"/>
      <c r="D148" s="18"/>
      <c r="E148" s="22"/>
      <c r="F148" s="22"/>
      <c r="G148" s="17"/>
    </row>
    <row r="149" customFormat="false" ht="15" hidden="false" customHeight="false" outlineLevel="0" collapsed="false">
      <c r="A149" s="17"/>
      <c r="B149" s="17"/>
      <c r="C149" s="19"/>
      <c r="D149" s="18"/>
      <c r="E149" s="22"/>
      <c r="F149" s="22"/>
      <c r="G149" s="17"/>
    </row>
    <row r="150" customFormat="false" ht="15" hidden="false" customHeight="false" outlineLevel="0" collapsed="false">
      <c r="A150" s="17"/>
      <c r="B150" s="17"/>
      <c r="C150" s="19"/>
      <c r="D150" s="18"/>
      <c r="E150" s="22"/>
      <c r="F150" s="22"/>
      <c r="G150" s="17"/>
    </row>
    <row r="151" customFormat="false" ht="15" hidden="false" customHeight="false" outlineLevel="0" collapsed="false">
      <c r="A151" s="17"/>
      <c r="B151" s="17"/>
      <c r="C151" s="19"/>
      <c r="D151" s="18"/>
      <c r="E151" s="22"/>
      <c r="F151" s="22"/>
      <c r="G151" s="17"/>
    </row>
    <row r="152" customFormat="false" ht="15" hidden="false" customHeight="false" outlineLevel="0" collapsed="false">
      <c r="A152" s="17"/>
      <c r="B152" s="17"/>
      <c r="C152" s="19"/>
      <c r="D152" s="18"/>
      <c r="E152" s="22"/>
      <c r="F152" s="22"/>
      <c r="G152" s="17"/>
    </row>
    <row r="153" customFormat="false" ht="15" hidden="false" customHeight="false" outlineLevel="0" collapsed="false">
      <c r="A153" s="17"/>
      <c r="B153" s="17"/>
      <c r="C153" s="19"/>
      <c r="D153" s="18"/>
      <c r="E153" s="22"/>
      <c r="F153" s="22"/>
      <c r="G153" s="17"/>
    </row>
    <row r="154" customFormat="false" ht="15" hidden="false" customHeight="false" outlineLevel="0" collapsed="false">
      <c r="A154" s="17"/>
      <c r="B154" s="17"/>
      <c r="C154" s="19"/>
      <c r="D154" s="18"/>
      <c r="E154" s="22"/>
      <c r="F154" s="22"/>
      <c r="G154" s="17"/>
    </row>
    <row r="155" customFormat="false" ht="15" hidden="false" customHeight="false" outlineLevel="0" collapsed="false">
      <c r="A155" s="17"/>
      <c r="B155" s="17"/>
      <c r="C155" s="19"/>
      <c r="D155" s="18"/>
      <c r="E155" s="22"/>
      <c r="F155" s="22"/>
      <c r="G155" s="17"/>
    </row>
    <row r="156" customFormat="false" ht="15" hidden="false" customHeight="false" outlineLevel="0" collapsed="false">
      <c r="A156" s="17"/>
      <c r="B156" s="17"/>
      <c r="C156" s="19"/>
      <c r="D156" s="18"/>
      <c r="E156" s="22"/>
      <c r="F156" s="22"/>
      <c r="G156" s="17"/>
    </row>
    <row r="157" customFormat="false" ht="15" hidden="false" customHeight="false" outlineLevel="0" collapsed="false">
      <c r="A157" s="17"/>
      <c r="B157" s="17"/>
      <c r="C157" s="19"/>
      <c r="D157" s="18"/>
      <c r="E157" s="22"/>
      <c r="F157" s="22"/>
      <c r="G157" s="17"/>
    </row>
    <row r="158" customFormat="false" ht="15" hidden="false" customHeight="false" outlineLevel="0" collapsed="false">
      <c r="A158" s="17"/>
      <c r="B158" s="17"/>
      <c r="C158" s="19"/>
      <c r="D158" s="18"/>
      <c r="E158" s="22"/>
      <c r="F158" s="22"/>
      <c r="G158" s="17"/>
    </row>
    <row r="159" customFormat="false" ht="15" hidden="false" customHeight="false" outlineLevel="0" collapsed="false">
      <c r="A159" s="17"/>
      <c r="B159" s="17"/>
      <c r="C159" s="19"/>
      <c r="D159" s="18"/>
      <c r="E159" s="22"/>
      <c r="F159" s="22"/>
      <c r="G159" s="17"/>
    </row>
    <row r="160" customFormat="false" ht="15" hidden="false" customHeight="false" outlineLevel="0" collapsed="false">
      <c r="A160" s="17"/>
      <c r="B160" s="17"/>
      <c r="C160" s="19"/>
      <c r="D160" s="18"/>
      <c r="E160" s="22"/>
      <c r="F160" s="22"/>
      <c r="G160" s="17"/>
    </row>
    <row r="161" customFormat="false" ht="15" hidden="false" customHeight="false" outlineLevel="0" collapsed="false">
      <c r="A161" s="17"/>
      <c r="B161" s="17"/>
      <c r="C161" s="19"/>
      <c r="D161" s="18"/>
      <c r="E161" s="22"/>
      <c r="F161" s="22"/>
      <c r="G161" s="17"/>
    </row>
    <row r="162" customFormat="false" ht="15" hidden="false" customHeight="false" outlineLevel="0" collapsed="false">
      <c r="A162" s="17"/>
      <c r="B162" s="17"/>
      <c r="C162" s="19"/>
      <c r="D162" s="18"/>
      <c r="E162" s="22"/>
      <c r="F162" s="22"/>
      <c r="G162" s="17"/>
    </row>
    <row r="163" customFormat="false" ht="15" hidden="false" customHeight="false" outlineLevel="0" collapsed="false">
      <c r="A163" s="17"/>
      <c r="B163" s="17"/>
      <c r="C163" s="19"/>
      <c r="D163" s="18"/>
      <c r="E163" s="22"/>
      <c r="F163" s="22"/>
      <c r="G163" s="17"/>
    </row>
    <row r="164" customFormat="false" ht="15" hidden="false" customHeight="false" outlineLevel="0" collapsed="false">
      <c r="A164" s="17"/>
      <c r="B164" s="17"/>
      <c r="C164" s="19"/>
      <c r="D164" s="18"/>
      <c r="E164" s="22"/>
      <c r="F164" s="22"/>
      <c r="G164" s="17"/>
    </row>
    <row r="165" customFormat="false" ht="15" hidden="false" customHeight="false" outlineLevel="0" collapsed="false">
      <c r="A165" s="17"/>
      <c r="B165" s="17"/>
      <c r="C165" s="19"/>
      <c r="D165" s="18"/>
      <c r="E165" s="22"/>
      <c r="F165" s="22"/>
      <c r="G165" s="17"/>
    </row>
    <row r="166" customFormat="false" ht="15" hidden="false" customHeight="false" outlineLevel="0" collapsed="false">
      <c r="A166" s="17"/>
      <c r="B166" s="17"/>
      <c r="C166" s="19"/>
      <c r="D166" s="18"/>
      <c r="E166" s="22"/>
      <c r="F166" s="22"/>
      <c r="G166" s="17"/>
    </row>
    <row r="167" customFormat="false" ht="15" hidden="false" customHeight="false" outlineLevel="0" collapsed="false">
      <c r="A167" s="17"/>
      <c r="B167" s="17"/>
      <c r="C167" s="19"/>
      <c r="D167" s="18"/>
      <c r="E167" s="22"/>
      <c r="F167" s="22"/>
      <c r="G167" s="17"/>
    </row>
    <row r="168" customFormat="false" ht="15" hidden="false" customHeight="false" outlineLevel="0" collapsed="false">
      <c r="A168" s="17"/>
      <c r="B168" s="17"/>
      <c r="C168" s="19"/>
      <c r="D168" s="18"/>
      <c r="E168" s="22"/>
      <c r="F168" s="22"/>
      <c r="G168" s="17"/>
    </row>
    <row r="169" customFormat="false" ht="15" hidden="false" customHeight="false" outlineLevel="0" collapsed="false">
      <c r="A169" s="17"/>
      <c r="B169" s="17"/>
      <c r="C169" s="19"/>
      <c r="D169" s="18"/>
      <c r="E169" s="22"/>
      <c r="F169" s="22"/>
      <c r="G169" s="17"/>
    </row>
    <row r="170" customFormat="false" ht="15" hidden="false" customHeight="false" outlineLevel="0" collapsed="false">
      <c r="A170" s="17"/>
      <c r="B170" s="17"/>
      <c r="C170" s="19"/>
      <c r="D170" s="18"/>
      <c r="E170" s="22"/>
      <c r="F170" s="22"/>
      <c r="G170" s="17"/>
    </row>
    <row r="171" customFormat="false" ht="15" hidden="false" customHeight="false" outlineLevel="0" collapsed="false">
      <c r="A171" s="17"/>
      <c r="B171" s="17"/>
      <c r="C171" s="19"/>
      <c r="D171" s="18"/>
      <c r="E171" s="22"/>
      <c r="F171" s="22"/>
      <c r="G171" s="17"/>
    </row>
    <row r="172" customFormat="false" ht="15" hidden="false" customHeight="false" outlineLevel="0" collapsed="false">
      <c r="A172" s="17"/>
      <c r="B172" s="17"/>
      <c r="C172" s="19"/>
      <c r="D172" s="18"/>
      <c r="E172" s="22"/>
      <c r="F172" s="22"/>
      <c r="G172" s="17"/>
    </row>
    <row r="173" customFormat="false" ht="15" hidden="false" customHeight="false" outlineLevel="0" collapsed="false">
      <c r="A173" s="17"/>
      <c r="B173" s="17"/>
      <c r="C173" s="19"/>
      <c r="D173" s="18"/>
      <c r="E173" s="22"/>
      <c r="F173" s="22"/>
      <c r="G173" s="17"/>
    </row>
    <row r="174" customFormat="false" ht="15" hidden="false" customHeight="false" outlineLevel="0" collapsed="false">
      <c r="A174" s="17"/>
      <c r="B174" s="17"/>
      <c r="C174" s="19"/>
      <c r="D174" s="18"/>
      <c r="E174" s="22"/>
      <c r="F174" s="22"/>
      <c r="G174" s="17"/>
    </row>
    <row r="175" customFormat="false" ht="15" hidden="false" customHeight="false" outlineLevel="0" collapsed="false">
      <c r="A175" s="17"/>
      <c r="B175" s="17"/>
      <c r="C175" s="19"/>
      <c r="D175" s="18"/>
      <c r="E175" s="22"/>
      <c r="F175" s="22"/>
      <c r="G175" s="17"/>
    </row>
    <row r="176" customFormat="false" ht="15" hidden="false" customHeight="false" outlineLevel="0" collapsed="false">
      <c r="A176" s="17"/>
      <c r="B176" s="17"/>
      <c r="C176" s="19"/>
      <c r="D176" s="18"/>
      <c r="E176" s="22"/>
      <c r="F176" s="22"/>
      <c r="G176" s="17"/>
    </row>
    <row r="177" customFormat="false" ht="15" hidden="false" customHeight="false" outlineLevel="0" collapsed="false">
      <c r="A177" s="17"/>
      <c r="B177" s="17"/>
      <c r="C177" s="19"/>
      <c r="D177" s="18"/>
      <c r="E177" s="22"/>
      <c r="F177" s="22"/>
      <c r="G177" s="17"/>
    </row>
    <row r="178" customFormat="false" ht="15" hidden="false" customHeight="false" outlineLevel="0" collapsed="false">
      <c r="A178" s="17"/>
      <c r="B178" s="17"/>
      <c r="C178" s="19"/>
      <c r="D178" s="18"/>
      <c r="E178" s="22"/>
      <c r="F178" s="22"/>
      <c r="G178" s="17"/>
    </row>
    <row r="179" customFormat="false" ht="15" hidden="false" customHeight="false" outlineLevel="0" collapsed="false">
      <c r="A179" s="17"/>
      <c r="B179" s="17"/>
      <c r="C179" s="19"/>
      <c r="D179" s="18"/>
      <c r="E179" s="22"/>
      <c r="F179" s="22"/>
      <c r="G179" s="17"/>
    </row>
    <row r="180" customFormat="false" ht="15" hidden="false" customHeight="false" outlineLevel="0" collapsed="false">
      <c r="A180" s="17"/>
      <c r="B180" s="17"/>
      <c r="C180" s="19"/>
      <c r="D180" s="18"/>
      <c r="E180" s="22"/>
      <c r="F180" s="22"/>
      <c r="G180" s="17"/>
    </row>
    <row r="181" customFormat="false" ht="15" hidden="false" customHeight="false" outlineLevel="0" collapsed="false">
      <c r="A181" s="17"/>
      <c r="B181" s="17"/>
      <c r="C181" s="19"/>
      <c r="D181" s="18"/>
      <c r="E181" s="22"/>
      <c r="F181" s="22"/>
      <c r="G181" s="17"/>
    </row>
    <row r="182" customFormat="false" ht="15" hidden="false" customHeight="false" outlineLevel="0" collapsed="false">
      <c r="A182" s="17"/>
      <c r="B182" s="17"/>
      <c r="C182" s="19"/>
      <c r="D182" s="18"/>
      <c r="E182" s="22"/>
      <c r="F182" s="22"/>
      <c r="G182" s="17"/>
    </row>
    <row r="183" customFormat="false" ht="15" hidden="false" customHeight="false" outlineLevel="0" collapsed="false">
      <c r="A183" s="17"/>
      <c r="B183" s="17"/>
      <c r="C183" s="19"/>
      <c r="D183" s="18"/>
      <c r="E183" s="22"/>
      <c r="F183" s="22"/>
      <c r="G183" s="17"/>
    </row>
    <row r="184" customFormat="false" ht="15" hidden="false" customHeight="false" outlineLevel="0" collapsed="false">
      <c r="A184" s="17"/>
      <c r="B184" s="17"/>
      <c r="C184" s="19"/>
      <c r="D184" s="18"/>
      <c r="E184" s="22"/>
      <c r="F184" s="22"/>
      <c r="G184" s="17"/>
    </row>
    <row r="185" customFormat="false" ht="15" hidden="false" customHeight="false" outlineLevel="0" collapsed="false">
      <c r="A185" s="17"/>
      <c r="B185" s="17"/>
      <c r="C185" s="19"/>
      <c r="D185" s="18"/>
      <c r="E185" s="22"/>
      <c r="F185" s="22"/>
      <c r="G185" s="17"/>
    </row>
    <row r="186" customFormat="false" ht="15" hidden="false" customHeight="false" outlineLevel="0" collapsed="false">
      <c r="A186" s="17"/>
      <c r="B186" s="17"/>
      <c r="C186" s="19"/>
      <c r="D186" s="18"/>
      <c r="E186" s="22"/>
      <c r="F186" s="22"/>
      <c r="G186" s="17"/>
    </row>
    <row r="187" customFormat="false" ht="15" hidden="false" customHeight="false" outlineLevel="0" collapsed="false">
      <c r="A187" s="17"/>
      <c r="B187" s="17"/>
      <c r="C187" s="19"/>
      <c r="D187" s="18"/>
      <c r="E187" s="22"/>
      <c r="F187" s="22"/>
      <c r="G187" s="17"/>
    </row>
    <row r="188" customFormat="false" ht="15" hidden="false" customHeight="false" outlineLevel="0" collapsed="false">
      <c r="A188" s="17"/>
      <c r="B188" s="17"/>
      <c r="C188" s="19"/>
      <c r="D188" s="18"/>
      <c r="E188" s="22"/>
      <c r="F188" s="22"/>
      <c r="G188" s="17"/>
    </row>
    <row r="189" customFormat="false" ht="15" hidden="false" customHeight="false" outlineLevel="0" collapsed="false">
      <c r="A189" s="17"/>
      <c r="B189" s="17"/>
      <c r="C189" s="19"/>
      <c r="D189" s="18"/>
      <c r="E189" s="22"/>
      <c r="F189" s="22"/>
      <c r="G189" s="17"/>
    </row>
    <row r="190" customFormat="false" ht="15" hidden="false" customHeight="false" outlineLevel="0" collapsed="false">
      <c r="A190" s="17"/>
      <c r="B190" s="17"/>
      <c r="C190" s="19"/>
      <c r="D190" s="18"/>
      <c r="E190" s="22"/>
      <c r="F190" s="22"/>
      <c r="G190" s="17"/>
    </row>
    <row r="191" customFormat="false" ht="15" hidden="false" customHeight="false" outlineLevel="0" collapsed="false">
      <c r="A191" s="17"/>
      <c r="B191" s="17"/>
      <c r="C191" s="19"/>
      <c r="D191" s="18"/>
      <c r="E191" s="22"/>
      <c r="F191" s="22"/>
      <c r="G191" s="17"/>
    </row>
    <row r="192" customFormat="false" ht="15" hidden="false" customHeight="false" outlineLevel="0" collapsed="false">
      <c r="A192" s="17"/>
      <c r="B192" s="17"/>
      <c r="C192" s="19"/>
      <c r="D192" s="18"/>
      <c r="E192" s="22"/>
      <c r="F192" s="22"/>
      <c r="G192" s="17"/>
    </row>
    <row r="193" customFormat="false" ht="15" hidden="false" customHeight="false" outlineLevel="0" collapsed="false">
      <c r="A193" s="17"/>
      <c r="B193" s="17"/>
      <c r="C193" s="19"/>
      <c r="D193" s="18"/>
      <c r="E193" s="22"/>
      <c r="F193" s="22"/>
      <c r="G193" s="17"/>
    </row>
    <row r="194" customFormat="false" ht="15" hidden="false" customHeight="false" outlineLevel="0" collapsed="false">
      <c r="A194" s="17"/>
      <c r="B194" s="17"/>
      <c r="C194" s="19"/>
      <c r="D194" s="18"/>
      <c r="E194" s="22"/>
      <c r="F194" s="22"/>
      <c r="G194" s="17"/>
    </row>
    <row r="195" customFormat="false" ht="15" hidden="false" customHeight="false" outlineLevel="0" collapsed="false">
      <c r="A195" s="17"/>
      <c r="B195" s="17"/>
      <c r="C195" s="19"/>
      <c r="D195" s="18"/>
      <c r="E195" s="22"/>
      <c r="F195" s="22"/>
      <c r="G195" s="17"/>
    </row>
    <row r="196" customFormat="false" ht="15" hidden="false" customHeight="false" outlineLevel="0" collapsed="false">
      <c r="A196" s="17"/>
      <c r="B196" s="17"/>
      <c r="C196" s="19"/>
      <c r="D196" s="18"/>
      <c r="E196" s="22"/>
      <c r="F196" s="22"/>
      <c r="G196" s="17"/>
    </row>
    <row r="197" customFormat="false" ht="15" hidden="false" customHeight="false" outlineLevel="0" collapsed="false">
      <c r="A197" s="17"/>
      <c r="B197" s="17"/>
      <c r="C197" s="19"/>
      <c r="D197" s="18"/>
      <c r="E197" s="22"/>
      <c r="F197" s="22"/>
      <c r="G197" s="17"/>
    </row>
    <row r="198" customFormat="false" ht="15" hidden="false" customHeight="false" outlineLevel="0" collapsed="false">
      <c r="A198" s="17"/>
      <c r="B198" s="17"/>
      <c r="C198" s="19"/>
      <c r="D198" s="18"/>
      <c r="E198" s="22"/>
      <c r="F198" s="22"/>
      <c r="G198" s="17"/>
    </row>
    <row r="199" customFormat="false" ht="15" hidden="false" customHeight="false" outlineLevel="0" collapsed="false">
      <c r="A199" s="17"/>
      <c r="B199" s="17"/>
      <c r="C199" s="19"/>
      <c r="D199" s="18"/>
      <c r="E199" s="22"/>
      <c r="F199" s="22"/>
      <c r="G199" s="17"/>
    </row>
    <row r="200" customFormat="false" ht="15" hidden="false" customHeight="false" outlineLevel="0" collapsed="false">
      <c r="A200" s="17"/>
      <c r="B200" s="17"/>
      <c r="C200" s="19"/>
      <c r="D200" s="18"/>
      <c r="E200" s="22"/>
      <c r="F200" s="22"/>
      <c r="G200" s="17"/>
    </row>
    <row r="201" customFormat="false" ht="15" hidden="false" customHeight="false" outlineLevel="0" collapsed="false">
      <c r="A201" s="17"/>
      <c r="B201" s="17"/>
      <c r="C201" s="19"/>
      <c r="D201" s="18"/>
      <c r="E201" s="22"/>
      <c r="F201" s="22"/>
      <c r="G201" s="17"/>
    </row>
    <row r="202" customFormat="false" ht="15" hidden="false" customHeight="false" outlineLevel="0" collapsed="false">
      <c r="A202" s="17"/>
      <c r="B202" s="17"/>
      <c r="C202" s="19"/>
      <c r="D202" s="18"/>
      <c r="E202" s="22"/>
      <c r="F202" s="22"/>
      <c r="G202" s="17"/>
    </row>
    <row r="203" customFormat="false" ht="15" hidden="false" customHeight="false" outlineLevel="0" collapsed="false">
      <c r="A203" s="17"/>
      <c r="B203" s="17"/>
      <c r="C203" s="19"/>
      <c r="D203" s="18"/>
      <c r="E203" s="22"/>
      <c r="F203" s="22"/>
      <c r="G203" s="17"/>
    </row>
    <row r="204" customFormat="false" ht="15" hidden="false" customHeight="false" outlineLevel="0" collapsed="false">
      <c r="A204" s="17"/>
      <c r="B204" s="17"/>
      <c r="C204" s="19"/>
      <c r="D204" s="18"/>
      <c r="E204" s="22"/>
      <c r="F204" s="22"/>
      <c r="G204" s="17"/>
    </row>
    <row r="205" customFormat="false" ht="15" hidden="false" customHeight="false" outlineLevel="0" collapsed="false">
      <c r="A205" s="17"/>
      <c r="B205" s="17"/>
      <c r="C205" s="19"/>
      <c r="D205" s="18"/>
      <c r="E205" s="22"/>
      <c r="F205" s="22"/>
      <c r="G205" s="17"/>
    </row>
    <row r="206" customFormat="false" ht="15" hidden="false" customHeight="false" outlineLevel="0" collapsed="false">
      <c r="A206" s="17"/>
      <c r="B206" s="17"/>
      <c r="C206" s="19"/>
      <c r="D206" s="18"/>
      <c r="E206" s="22"/>
      <c r="F206" s="22"/>
      <c r="G206" s="17"/>
    </row>
    <row r="207" customFormat="false" ht="15" hidden="false" customHeight="false" outlineLevel="0" collapsed="false">
      <c r="A207" s="17"/>
      <c r="B207" s="17"/>
      <c r="C207" s="19"/>
      <c r="D207" s="18"/>
      <c r="E207" s="22"/>
      <c r="F207" s="22"/>
      <c r="G207" s="17"/>
    </row>
    <row r="208" customFormat="false" ht="15" hidden="false" customHeight="false" outlineLevel="0" collapsed="false">
      <c r="A208" s="17"/>
      <c r="B208" s="17"/>
      <c r="C208" s="19"/>
      <c r="D208" s="18"/>
      <c r="E208" s="22"/>
      <c r="F208" s="22"/>
      <c r="G208" s="17"/>
    </row>
    <row r="209" customFormat="false" ht="15" hidden="false" customHeight="false" outlineLevel="0" collapsed="false">
      <c r="A209" s="17"/>
      <c r="B209" s="17"/>
      <c r="C209" s="19"/>
      <c r="D209" s="18"/>
      <c r="E209" s="22"/>
      <c r="F209" s="22"/>
      <c r="G209" s="17"/>
    </row>
    <row r="210" customFormat="false" ht="15" hidden="false" customHeight="false" outlineLevel="0" collapsed="false">
      <c r="A210" s="17"/>
      <c r="B210" s="17"/>
      <c r="C210" s="19"/>
      <c r="D210" s="18"/>
      <c r="E210" s="22"/>
      <c r="F210" s="22"/>
      <c r="G210" s="17"/>
    </row>
    <row r="211" customFormat="false" ht="15" hidden="false" customHeight="false" outlineLevel="0" collapsed="false">
      <c r="A211" s="17"/>
      <c r="B211" s="17"/>
      <c r="C211" s="19"/>
      <c r="D211" s="18"/>
      <c r="E211" s="22"/>
      <c r="F211" s="22"/>
      <c r="G211" s="17"/>
    </row>
    <row r="212" customFormat="false" ht="15" hidden="false" customHeight="false" outlineLevel="0" collapsed="false">
      <c r="A212" s="17"/>
      <c r="B212" s="17"/>
      <c r="C212" s="19"/>
      <c r="D212" s="18"/>
      <c r="E212" s="22"/>
      <c r="F212" s="22"/>
      <c r="G212" s="17"/>
    </row>
    <row r="213" customFormat="false" ht="15" hidden="false" customHeight="false" outlineLevel="0" collapsed="false">
      <c r="A213" s="17"/>
      <c r="B213" s="17"/>
      <c r="C213" s="19"/>
      <c r="D213" s="18"/>
      <c r="E213" s="22"/>
      <c r="F213" s="22"/>
      <c r="G213" s="17"/>
    </row>
    <row r="214" customFormat="false" ht="15" hidden="false" customHeight="false" outlineLevel="0" collapsed="false">
      <c r="A214" s="17"/>
      <c r="B214" s="17"/>
      <c r="C214" s="19"/>
      <c r="D214" s="18"/>
      <c r="E214" s="22"/>
      <c r="F214" s="22"/>
      <c r="G214" s="17"/>
    </row>
    <row r="215" customFormat="false" ht="15" hidden="false" customHeight="false" outlineLevel="0" collapsed="false">
      <c r="A215" s="17"/>
      <c r="B215" s="17"/>
      <c r="C215" s="19"/>
      <c r="D215" s="18"/>
      <c r="E215" s="22"/>
      <c r="F215" s="22"/>
      <c r="G215" s="17"/>
    </row>
    <row r="216" customFormat="false" ht="15" hidden="false" customHeight="false" outlineLevel="0" collapsed="false">
      <c r="A216" s="17"/>
      <c r="B216" s="17"/>
      <c r="C216" s="19"/>
      <c r="D216" s="18"/>
      <c r="E216" s="22"/>
      <c r="F216" s="22"/>
      <c r="G216" s="17"/>
    </row>
    <row r="217" customFormat="false" ht="15" hidden="false" customHeight="false" outlineLevel="0" collapsed="false">
      <c r="A217" s="17"/>
      <c r="B217" s="17"/>
      <c r="C217" s="19"/>
      <c r="D217" s="18"/>
      <c r="E217" s="22"/>
      <c r="F217" s="22"/>
      <c r="G217" s="17"/>
    </row>
    <row r="218" customFormat="false" ht="15" hidden="false" customHeight="false" outlineLevel="0" collapsed="false">
      <c r="A218" s="17"/>
      <c r="B218" s="17"/>
      <c r="C218" s="19"/>
      <c r="D218" s="18"/>
      <c r="E218" s="22"/>
      <c r="F218" s="22"/>
      <c r="G218" s="17"/>
    </row>
    <row r="219" customFormat="false" ht="15" hidden="false" customHeight="false" outlineLevel="0" collapsed="false">
      <c r="A219" s="17"/>
      <c r="B219" s="17"/>
      <c r="C219" s="19"/>
      <c r="D219" s="18"/>
      <c r="E219" s="22"/>
      <c r="F219" s="22"/>
      <c r="G219" s="17"/>
    </row>
    <row r="220" customFormat="false" ht="15" hidden="false" customHeight="false" outlineLevel="0" collapsed="false">
      <c r="A220" s="17"/>
      <c r="B220" s="17"/>
      <c r="C220" s="19"/>
      <c r="D220" s="18"/>
      <c r="E220" s="22"/>
      <c r="F220" s="22"/>
      <c r="G220" s="17"/>
    </row>
    <row r="221" customFormat="false" ht="15" hidden="false" customHeight="false" outlineLevel="0" collapsed="false">
      <c r="A221" s="17"/>
      <c r="B221" s="17"/>
      <c r="C221" s="19"/>
      <c r="D221" s="18"/>
      <c r="E221" s="22"/>
      <c r="F221" s="22"/>
      <c r="G221" s="17"/>
    </row>
    <row r="222" customFormat="false" ht="15" hidden="false" customHeight="false" outlineLevel="0" collapsed="false">
      <c r="A222" s="17"/>
      <c r="B222" s="17"/>
      <c r="C222" s="19"/>
      <c r="D222" s="18"/>
      <c r="E222" s="22"/>
      <c r="F222" s="22"/>
      <c r="G222" s="17"/>
    </row>
    <row r="223" customFormat="false" ht="15" hidden="false" customHeight="false" outlineLevel="0" collapsed="false">
      <c r="A223" s="17"/>
      <c r="B223" s="17"/>
      <c r="C223" s="19"/>
      <c r="D223" s="18"/>
      <c r="E223" s="22"/>
      <c r="F223" s="22"/>
      <c r="G223" s="17"/>
    </row>
    <row r="224" customFormat="false" ht="15" hidden="false" customHeight="false" outlineLevel="0" collapsed="false">
      <c r="A224" s="17"/>
      <c r="B224" s="17"/>
      <c r="C224" s="19"/>
      <c r="D224" s="18"/>
      <c r="E224" s="22"/>
      <c r="F224" s="22"/>
      <c r="G224" s="17"/>
    </row>
    <row r="225" customFormat="false" ht="15" hidden="false" customHeight="false" outlineLevel="0" collapsed="false">
      <c r="A225" s="17"/>
      <c r="B225" s="17"/>
      <c r="C225" s="19"/>
      <c r="D225" s="18"/>
      <c r="E225" s="22"/>
      <c r="F225" s="22"/>
      <c r="G225" s="17"/>
    </row>
    <row r="226" customFormat="false" ht="15" hidden="false" customHeight="false" outlineLevel="0" collapsed="false">
      <c r="A226" s="17"/>
      <c r="B226" s="17"/>
      <c r="C226" s="19"/>
      <c r="D226" s="18"/>
      <c r="E226" s="22"/>
      <c r="F226" s="22"/>
      <c r="G226" s="17"/>
    </row>
    <row r="227" customFormat="false" ht="15" hidden="false" customHeight="false" outlineLevel="0" collapsed="false">
      <c r="A227" s="17"/>
      <c r="B227" s="17"/>
      <c r="C227" s="19"/>
      <c r="D227" s="18"/>
      <c r="E227" s="22"/>
      <c r="F227" s="22"/>
      <c r="G227" s="17"/>
    </row>
    <row r="228" customFormat="false" ht="15" hidden="false" customHeight="false" outlineLevel="0" collapsed="false">
      <c r="A228" s="17"/>
      <c r="B228" s="17"/>
      <c r="C228" s="19"/>
      <c r="D228" s="18"/>
      <c r="E228" s="22"/>
      <c r="F228" s="22"/>
      <c r="G228" s="17"/>
    </row>
    <row r="229" customFormat="false" ht="15" hidden="false" customHeight="false" outlineLevel="0" collapsed="false">
      <c r="A229" s="17"/>
      <c r="B229" s="17"/>
      <c r="C229" s="19"/>
      <c r="D229" s="18"/>
      <c r="E229" s="22"/>
      <c r="F229" s="22"/>
      <c r="G229" s="17"/>
    </row>
    <row r="230" customFormat="false" ht="15" hidden="false" customHeight="false" outlineLevel="0" collapsed="false">
      <c r="A230" s="17"/>
      <c r="B230" s="17"/>
      <c r="C230" s="19"/>
      <c r="D230" s="18"/>
      <c r="E230" s="22"/>
      <c r="F230" s="22"/>
      <c r="G230" s="17"/>
    </row>
    <row r="231" customFormat="false" ht="15" hidden="false" customHeight="false" outlineLevel="0" collapsed="false">
      <c r="A231" s="17"/>
      <c r="B231" s="17"/>
      <c r="C231" s="19"/>
      <c r="D231" s="18"/>
      <c r="E231" s="22"/>
      <c r="F231" s="22"/>
      <c r="G231" s="17"/>
    </row>
    <row r="232" customFormat="false" ht="15" hidden="false" customHeight="false" outlineLevel="0" collapsed="false">
      <c r="A232" s="17"/>
      <c r="B232" s="17"/>
      <c r="C232" s="19"/>
      <c r="D232" s="18"/>
      <c r="E232" s="22"/>
      <c r="F232" s="22"/>
      <c r="G232" s="17"/>
    </row>
    <row r="233" customFormat="false" ht="15" hidden="false" customHeight="false" outlineLevel="0" collapsed="false">
      <c r="A233" s="17"/>
      <c r="B233" s="17"/>
      <c r="C233" s="19"/>
      <c r="D233" s="18"/>
      <c r="E233" s="22"/>
      <c r="F233" s="22"/>
      <c r="G233" s="17"/>
    </row>
    <row r="234" customFormat="false" ht="15" hidden="false" customHeight="false" outlineLevel="0" collapsed="false">
      <c r="A234" s="17"/>
      <c r="B234" s="17"/>
      <c r="C234" s="19"/>
      <c r="D234" s="18"/>
      <c r="E234" s="22"/>
      <c r="F234" s="22"/>
      <c r="G234" s="17"/>
    </row>
    <row r="235" customFormat="false" ht="15" hidden="false" customHeight="false" outlineLevel="0" collapsed="false">
      <c r="A235" s="17"/>
      <c r="B235" s="17"/>
      <c r="C235" s="19"/>
      <c r="D235" s="18"/>
      <c r="E235" s="22"/>
      <c r="F235" s="22"/>
      <c r="G235" s="17"/>
    </row>
    <row r="236" customFormat="false" ht="15" hidden="false" customHeight="false" outlineLevel="0" collapsed="false">
      <c r="A236" s="17"/>
      <c r="B236" s="17"/>
      <c r="C236" s="19"/>
      <c r="D236" s="18"/>
      <c r="E236" s="22"/>
      <c r="F236" s="22"/>
      <c r="G236" s="17"/>
    </row>
    <row r="237" customFormat="false" ht="15" hidden="false" customHeight="false" outlineLevel="0" collapsed="false">
      <c r="A237" s="17"/>
      <c r="B237" s="17"/>
      <c r="C237" s="19"/>
      <c r="D237" s="18"/>
      <c r="E237" s="22"/>
      <c r="F237" s="22"/>
      <c r="G237" s="17"/>
    </row>
    <row r="238" customFormat="false" ht="15" hidden="false" customHeight="false" outlineLevel="0" collapsed="false">
      <c r="A238" s="17"/>
      <c r="B238" s="17"/>
      <c r="C238" s="19"/>
      <c r="D238" s="18"/>
      <c r="E238" s="22"/>
      <c r="F238" s="22"/>
      <c r="G238" s="17"/>
    </row>
    <row r="239" customFormat="false" ht="15" hidden="false" customHeight="false" outlineLevel="0" collapsed="false">
      <c r="A239" s="17"/>
      <c r="B239" s="17"/>
      <c r="C239" s="19"/>
      <c r="D239" s="18"/>
      <c r="E239" s="22"/>
      <c r="F239" s="22"/>
      <c r="G239" s="17"/>
    </row>
    <row r="240" customFormat="false" ht="15" hidden="false" customHeight="false" outlineLevel="0" collapsed="false">
      <c r="A240" s="17"/>
      <c r="B240" s="17"/>
      <c r="C240" s="19"/>
      <c r="D240" s="18"/>
      <c r="E240" s="22"/>
      <c r="F240" s="22"/>
      <c r="G240" s="17"/>
    </row>
    <row r="241" customFormat="false" ht="15" hidden="false" customHeight="false" outlineLevel="0" collapsed="false">
      <c r="A241" s="17"/>
      <c r="B241" s="17"/>
      <c r="C241" s="19"/>
      <c r="D241" s="18"/>
      <c r="E241" s="22"/>
      <c r="F241" s="22"/>
      <c r="G241" s="17"/>
    </row>
    <row r="242" customFormat="false" ht="15" hidden="false" customHeight="false" outlineLevel="0" collapsed="false">
      <c r="A242" s="17"/>
      <c r="B242" s="17"/>
      <c r="C242" s="19"/>
      <c r="D242" s="18"/>
      <c r="E242" s="22"/>
      <c r="F242" s="22"/>
      <c r="G242" s="17"/>
    </row>
    <row r="243" customFormat="false" ht="15" hidden="false" customHeight="false" outlineLevel="0" collapsed="false">
      <c r="A243" s="17"/>
      <c r="B243" s="17"/>
      <c r="C243" s="19"/>
      <c r="D243" s="18"/>
      <c r="E243" s="22"/>
      <c r="F243" s="22"/>
      <c r="G243" s="17"/>
    </row>
    <row r="244" customFormat="false" ht="15" hidden="false" customHeight="false" outlineLevel="0" collapsed="false">
      <c r="A244" s="17"/>
      <c r="B244" s="17"/>
      <c r="C244" s="19"/>
      <c r="D244" s="18"/>
      <c r="E244" s="22"/>
      <c r="F244" s="22"/>
      <c r="G244" s="17"/>
    </row>
    <row r="245" customFormat="false" ht="15" hidden="false" customHeight="false" outlineLevel="0" collapsed="false">
      <c r="A245" s="17"/>
      <c r="B245" s="17"/>
      <c r="C245" s="19"/>
      <c r="D245" s="18"/>
      <c r="E245" s="22"/>
      <c r="F245" s="22"/>
      <c r="G245" s="17"/>
    </row>
    <row r="246" customFormat="false" ht="15" hidden="false" customHeight="false" outlineLevel="0" collapsed="false">
      <c r="A246" s="17"/>
      <c r="B246" s="17"/>
      <c r="C246" s="19"/>
      <c r="D246" s="18"/>
      <c r="E246" s="22"/>
      <c r="F246" s="22"/>
      <c r="G246" s="17"/>
    </row>
    <row r="247" customFormat="false" ht="15" hidden="false" customHeight="false" outlineLevel="0" collapsed="false">
      <c r="A247" s="17"/>
      <c r="B247" s="17"/>
      <c r="C247" s="19"/>
      <c r="D247" s="18"/>
      <c r="E247" s="22"/>
      <c r="F247" s="22"/>
      <c r="G247" s="17"/>
    </row>
    <row r="248" customFormat="false" ht="15" hidden="false" customHeight="false" outlineLevel="0" collapsed="false">
      <c r="A248" s="17"/>
      <c r="B248" s="17"/>
      <c r="C248" s="19"/>
      <c r="D248" s="18"/>
      <c r="E248" s="22"/>
      <c r="F248" s="22"/>
      <c r="G248" s="17"/>
    </row>
    <row r="249" customFormat="false" ht="15" hidden="false" customHeight="false" outlineLevel="0" collapsed="false">
      <c r="A249" s="17"/>
      <c r="B249" s="17"/>
      <c r="C249" s="19"/>
      <c r="D249" s="18"/>
      <c r="E249" s="22"/>
      <c r="F249" s="22"/>
      <c r="G249" s="17"/>
    </row>
    <row r="250" customFormat="false" ht="15" hidden="false" customHeight="false" outlineLevel="0" collapsed="false">
      <c r="A250" s="17"/>
      <c r="B250" s="17"/>
      <c r="C250" s="19"/>
      <c r="D250" s="18"/>
      <c r="E250" s="22"/>
      <c r="F250" s="22"/>
      <c r="G250" s="17"/>
    </row>
    <row r="251" customFormat="false" ht="15" hidden="false" customHeight="false" outlineLevel="0" collapsed="false">
      <c r="A251" s="17"/>
      <c r="B251" s="17"/>
      <c r="C251" s="19"/>
      <c r="D251" s="18"/>
      <c r="E251" s="22"/>
      <c r="F251" s="22"/>
      <c r="G251" s="17"/>
    </row>
    <row r="252" customFormat="false" ht="15" hidden="false" customHeight="false" outlineLevel="0" collapsed="false">
      <c r="A252" s="17"/>
      <c r="B252" s="17"/>
      <c r="C252" s="19"/>
      <c r="D252" s="18"/>
      <c r="E252" s="22"/>
      <c r="F252" s="22"/>
      <c r="G252" s="17"/>
    </row>
    <row r="253" customFormat="false" ht="15" hidden="false" customHeight="false" outlineLevel="0" collapsed="false">
      <c r="A253" s="17"/>
      <c r="B253" s="17"/>
      <c r="C253" s="19"/>
      <c r="D253" s="18"/>
      <c r="E253" s="22"/>
      <c r="F253" s="22"/>
      <c r="G253" s="17"/>
    </row>
    <row r="254" customFormat="false" ht="15" hidden="false" customHeight="false" outlineLevel="0" collapsed="false">
      <c r="A254" s="17"/>
      <c r="B254" s="17"/>
      <c r="C254" s="19"/>
      <c r="D254" s="18"/>
      <c r="E254" s="22"/>
      <c r="F254" s="22"/>
      <c r="G254" s="17"/>
    </row>
    <row r="255" customFormat="false" ht="15" hidden="false" customHeight="false" outlineLevel="0" collapsed="false">
      <c r="A255" s="17"/>
      <c r="B255" s="17"/>
      <c r="C255" s="19"/>
      <c r="D255" s="18"/>
      <c r="E255" s="22"/>
      <c r="F255" s="22"/>
      <c r="G255" s="17"/>
    </row>
    <row r="256" customFormat="false" ht="15" hidden="false" customHeight="false" outlineLevel="0" collapsed="false">
      <c r="A256" s="17"/>
      <c r="B256" s="17"/>
      <c r="C256" s="19"/>
      <c r="D256" s="18"/>
      <c r="E256" s="22"/>
      <c r="F256" s="22"/>
      <c r="G256" s="17"/>
    </row>
    <row r="257" customFormat="false" ht="15" hidden="false" customHeight="false" outlineLevel="0" collapsed="false">
      <c r="A257" s="17"/>
      <c r="B257" s="17"/>
      <c r="C257" s="19"/>
      <c r="D257" s="18"/>
      <c r="E257" s="22"/>
      <c r="F257" s="22"/>
      <c r="G257" s="17"/>
    </row>
    <row r="258" customFormat="false" ht="15" hidden="false" customHeight="false" outlineLevel="0" collapsed="false">
      <c r="A258" s="17"/>
      <c r="B258" s="17"/>
      <c r="C258" s="19"/>
      <c r="D258" s="18"/>
      <c r="E258" s="22"/>
      <c r="F258" s="22"/>
      <c r="G258" s="17"/>
    </row>
    <row r="259" customFormat="false" ht="15" hidden="false" customHeight="false" outlineLevel="0" collapsed="false">
      <c r="A259" s="17"/>
      <c r="B259" s="17"/>
      <c r="C259" s="19"/>
      <c r="D259" s="18"/>
      <c r="E259" s="22"/>
      <c r="F259" s="22"/>
      <c r="G259" s="17"/>
    </row>
    <row r="260" customFormat="false" ht="15" hidden="false" customHeight="false" outlineLevel="0" collapsed="false">
      <c r="A260" s="17"/>
      <c r="B260" s="17"/>
      <c r="C260" s="19"/>
      <c r="D260" s="18"/>
      <c r="E260" s="22"/>
      <c r="F260" s="22"/>
      <c r="G260" s="17"/>
    </row>
    <row r="261" customFormat="false" ht="15" hidden="false" customHeight="false" outlineLevel="0" collapsed="false">
      <c r="A261" s="17"/>
      <c r="B261" s="17"/>
      <c r="C261" s="19"/>
      <c r="D261" s="18"/>
      <c r="E261" s="22"/>
      <c r="F261" s="22"/>
      <c r="G261" s="17"/>
    </row>
    <row r="262" customFormat="false" ht="15" hidden="false" customHeight="false" outlineLevel="0" collapsed="false">
      <c r="A262" s="17"/>
      <c r="B262" s="17"/>
      <c r="C262" s="19"/>
      <c r="D262" s="18"/>
      <c r="E262" s="22"/>
      <c r="F262" s="22"/>
      <c r="G262" s="17"/>
    </row>
    <row r="263" customFormat="false" ht="15" hidden="false" customHeight="false" outlineLevel="0" collapsed="false">
      <c r="A263" s="17"/>
      <c r="B263" s="17"/>
      <c r="C263" s="19"/>
      <c r="D263" s="18"/>
      <c r="E263" s="22"/>
      <c r="F263" s="22"/>
      <c r="G263" s="17"/>
    </row>
    <row r="264" customFormat="false" ht="15" hidden="false" customHeight="false" outlineLevel="0" collapsed="false">
      <c r="A264" s="17"/>
      <c r="B264" s="17"/>
      <c r="C264" s="19"/>
      <c r="D264" s="18"/>
      <c r="E264" s="22"/>
      <c r="F264" s="22"/>
      <c r="G264" s="17"/>
    </row>
    <row r="265" customFormat="false" ht="15" hidden="false" customHeight="false" outlineLevel="0" collapsed="false">
      <c r="A265" s="17"/>
      <c r="B265" s="17"/>
      <c r="C265" s="19"/>
      <c r="D265" s="18"/>
      <c r="E265" s="22"/>
      <c r="F265" s="22"/>
      <c r="G265" s="17"/>
    </row>
    <row r="266" customFormat="false" ht="15" hidden="false" customHeight="false" outlineLevel="0" collapsed="false">
      <c r="A266" s="17"/>
      <c r="B266" s="17"/>
      <c r="C266" s="19"/>
      <c r="D266" s="18"/>
      <c r="E266" s="22"/>
      <c r="F266" s="22"/>
      <c r="G266" s="17"/>
    </row>
    <row r="267" customFormat="false" ht="15" hidden="false" customHeight="false" outlineLevel="0" collapsed="false">
      <c r="A267" s="17"/>
      <c r="B267" s="17"/>
      <c r="C267" s="19"/>
      <c r="D267" s="18"/>
      <c r="E267" s="22"/>
      <c r="F267" s="22"/>
      <c r="G267" s="17"/>
    </row>
    <row r="268" customFormat="false" ht="15" hidden="false" customHeight="false" outlineLevel="0" collapsed="false">
      <c r="A268" s="17"/>
      <c r="B268" s="17"/>
      <c r="C268" s="19"/>
      <c r="D268" s="18"/>
      <c r="E268" s="22"/>
      <c r="F268" s="22"/>
      <c r="G268" s="17"/>
    </row>
    <row r="269" customFormat="false" ht="15" hidden="false" customHeight="false" outlineLevel="0" collapsed="false">
      <c r="A269" s="17"/>
      <c r="B269" s="17"/>
      <c r="C269" s="19"/>
      <c r="D269" s="18"/>
      <c r="E269" s="22"/>
      <c r="F269" s="22"/>
      <c r="G269" s="17"/>
    </row>
    <row r="270" customFormat="false" ht="15" hidden="false" customHeight="false" outlineLevel="0" collapsed="false">
      <c r="A270" s="17"/>
      <c r="B270" s="17"/>
      <c r="C270" s="19"/>
      <c r="D270" s="18"/>
      <c r="E270" s="22"/>
      <c r="F270" s="22"/>
      <c r="G270" s="17"/>
    </row>
    <row r="271" customFormat="false" ht="15" hidden="false" customHeight="false" outlineLevel="0" collapsed="false">
      <c r="A271" s="17"/>
      <c r="B271" s="17"/>
      <c r="C271" s="19"/>
      <c r="D271" s="18"/>
      <c r="E271" s="22"/>
      <c r="F271" s="22"/>
      <c r="G271" s="17"/>
    </row>
    <row r="272" customFormat="false" ht="15" hidden="false" customHeight="false" outlineLevel="0" collapsed="false">
      <c r="A272" s="17"/>
      <c r="B272" s="17"/>
      <c r="C272" s="19"/>
      <c r="D272" s="18"/>
      <c r="E272" s="22"/>
      <c r="F272" s="22"/>
      <c r="G272" s="17"/>
    </row>
    <row r="273" customFormat="false" ht="15" hidden="false" customHeight="false" outlineLevel="0" collapsed="false">
      <c r="A273" s="17"/>
      <c r="B273" s="17"/>
      <c r="C273" s="19"/>
      <c r="D273" s="18"/>
      <c r="E273" s="22"/>
      <c r="F273" s="22"/>
      <c r="G273" s="17"/>
    </row>
    <row r="274" customFormat="false" ht="15" hidden="false" customHeight="false" outlineLevel="0" collapsed="false">
      <c r="A274" s="17"/>
      <c r="B274" s="17"/>
      <c r="C274" s="19"/>
      <c r="D274" s="18"/>
      <c r="E274" s="22"/>
      <c r="F274" s="22"/>
      <c r="G274" s="17"/>
    </row>
    <row r="275" customFormat="false" ht="15" hidden="false" customHeight="false" outlineLevel="0" collapsed="false">
      <c r="A275" s="17"/>
      <c r="B275" s="17"/>
      <c r="C275" s="19"/>
      <c r="D275" s="18"/>
      <c r="E275" s="22"/>
      <c r="F275" s="22"/>
      <c r="G275" s="17"/>
    </row>
    <row r="276" customFormat="false" ht="15" hidden="false" customHeight="false" outlineLevel="0" collapsed="false">
      <c r="A276" s="17"/>
      <c r="B276" s="17"/>
      <c r="C276" s="19"/>
      <c r="D276" s="18"/>
      <c r="E276" s="22"/>
      <c r="F276" s="22"/>
      <c r="G276" s="17"/>
    </row>
    <row r="277" customFormat="false" ht="15" hidden="false" customHeight="false" outlineLevel="0" collapsed="false">
      <c r="A277" s="17"/>
      <c r="B277" s="17"/>
      <c r="C277" s="19"/>
      <c r="D277" s="18"/>
      <c r="E277" s="22"/>
      <c r="F277" s="22"/>
      <c r="G277" s="17"/>
    </row>
    <row r="278" customFormat="false" ht="15" hidden="false" customHeight="false" outlineLevel="0" collapsed="false">
      <c r="A278" s="17"/>
      <c r="B278" s="17"/>
      <c r="C278" s="19"/>
      <c r="D278" s="18"/>
      <c r="E278" s="22"/>
      <c r="F278" s="22"/>
      <c r="G278" s="17"/>
    </row>
    <row r="279" customFormat="false" ht="15" hidden="false" customHeight="false" outlineLevel="0" collapsed="false">
      <c r="A279" s="17"/>
      <c r="B279" s="17"/>
      <c r="C279" s="19"/>
      <c r="D279" s="18"/>
      <c r="E279" s="22"/>
      <c r="F279" s="22"/>
      <c r="G279" s="17"/>
    </row>
    <row r="280" customFormat="false" ht="15" hidden="false" customHeight="false" outlineLevel="0" collapsed="false">
      <c r="A280" s="17"/>
      <c r="B280" s="17"/>
      <c r="C280" s="19"/>
      <c r="D280" s="18"/>
      <c r="E280" s="22"/>
      <c r="F280" s="22"/>
      <c r="G280" s="17"/>
    </row>
    <row r="281" customFormat="false" ht="15" hidden="false" customHeight="false" outlineLevel="0" collapsed="false">
      <c r="A281" s="17"/>
      <c r="B281" s="17"/>
      <c r="C281" s="19"/>
      <c r="D281" s="18"/>
      <c r="E281" s="22"/>
      <c r="F281" s="22"/>
      <c r="G281" s="17"/>
    </row>
    <row r="282" customFormat="false" ht="15" hidden="false" customHeight="false" outlineLevel="0" collapsed="false">
      <c r="A282" s="17"/>
      <c r="B282" s="17"/>
      <c r="C282" s="19"/>
      <c r="D282" s="18"/>
      <c r="E282" s="22"/>
      <c r="F282" s="22"/>
      <c r="G282" s="17"/>
    </row>
    <row r="283" customFormat="false" ht="15" hidden="false" customHeight="false" outlineLevel="0" collapsed="false">
      <c r="A283" s="17"/>
      <c r="B283" s="17"/>
      <c r="C283" s="19"/>
      <c r="D283" s="18"/>
      <c r="E283" s="22"/>
      <c r="F283" s="22"/>
      <c r="G283" s="17"/>
    </row>
    <row r="284" customFormat="false" ht="15" hidden="false" customHeight="false" outlineLevel="0" collapsed="false">
      <c r="A284" s="17"/>
      <c r="B284" s="17"/>
      <c r="C284" s="19"/>
      <c r="D284" s="18"/>
      <c r="E284" s="22"/>
      <c r="F284" s="22"/>
      <c r="G284" s="17"/>
    </row>
    <row r="285" customFormat="false" ht="15" hidden="false" customHeight="false" outlineLevel="0" collapsed="false">
      <c r="A285" s="17"/>
      <c r="B285" s="17"/>
      <c r="C285" s="19"/>
      <c r="D285" s="18"/>
      <c r="E285" s="22"/>
      <c r="F285" s="22"/>
      <c r="G285" s="17"/>
    </row>
    <row r="286" customFormat="false" ht="15" hidden="false" customHeight="false" outlineLevel="0" collapsed="false">
      <c r="A286" s="17"/>
      <c r="B286" s="17"/>
      <c r="C286" s="19"/>
      <c r="D286" s="18"/>
      <c r="E286" s="22"/>
      <c r="F286" s="22"/>
      <c r="G286" s="17"/>
    </row>
    <row r="287" customFormat="false" ht="15" hidden="false" customHeight="false" outlineLevel="0" collapsed="false">
      <c r="A287" s="17"/>
      <c r="B287" s="17"/>
      <c r="C287" s="19"/>
      <c r="D287" s="18"/>
      <c r="E287" s="22"/>
      <c r="F287" s="22"/>
      <c r="G287" s="17"/>
    </row>
    <row r="288" customFormat="false" ht="15" hidden="false" customHeight="false" outlineLevel="0" collapsed="false">
      <c r="A288" s="17"/>
      <c r="B288" s="17"/>
      <c r="C288" s="19"/>
      <c r="D288" s="18"/>
      <c r="E288" s="22"/>
      <c r="F288" s="22"/>
      <c r="G288" s="17"/>
    </row>
    <row r="289" customFormat="false" ht="15" hidden="false" customHeight="false" outlineLevel="0" collapsed="false">
      <c r="A289" s="17"/>
      <c r="B289" s="17"/>
      <c r="C289" s="19"/>
      <c r="D289" s="18"/>
      <c r="E289" s="22"/>
      <c r="F289" s="22"/>
      <c r="G289" s="17"/>
    </row>
    <row r="290" customFormat="false" ht="15" hidden="false" customHeight="false" outlineLevel="0" collapsed="false">
      <c r="A290" s="17"/>
      <c r="B290" s="17"/>
      <c r="C290" s="19"/>
      <c r="D290" s="18"/>
      <c r="E290" s="22"/>
      <c r="F290" s="22"/>
      <c r="G290" s="17"/>
    </row>
    <row r="291" customFormat="false" ht="15" hidden="false" customHeight="false" outlineLevel="0" collapsed="false">
      <c r="A291" s="17"/>
      <c r="B291" s="17"/>
      <c r="C291" s="19"/>
      <c r="D291" s="18"/>
      <c r="E291" s="22"/>
      <c r="F291" s="22"/>
      <c r="G291" s="17"/>
    </row>
    <row r="292" customFormat="false" ht="15" hidden="false" customHeight="false" outlineLevel="0" collapsed="false">
      <c r="A292" s="17"/>
      <c r="B292" s="17"/>
      <c r="C292" s="19"/>
      <c r="D292" s="18"/>
      <c r="E292" s="22"/>
      <c r="F292" s="22"/>
      <c r="G292" s="17"/>
    </row>
    <row r="293" customFormat="false" ht="15" hidden="false" customHeight="false" outlineLevel="0" collapsed="false">
      <c r="A293" s="17"/>
      <c r="B293" s="17"/>
      <c r="C293" s="19"/>
      <c r="D293" s="18"/>
      <c r="E293" s="22"/>
      <c r="F293" s="22"/>
      <c r="G293" s="17"/>
    </row>
    <row r="294" customFormat="false" ht="15" hidden="false" customHeight="false" outlineLevel="0" collapsed="false">
      <c r="A294" s="17"/>
      <c r="B294" s="17"/>
      <c r="C294" s="19"/>
      <c r="D294" s="18"/>
      <c r="E294" s="22"/>
      <c r="F294" s="22"/>
      <c r="G294" s="17"/>
    </row>
    <row r="295" customFormat="false" ht="15" hidden="false" customHeight="false" outlineLevel="0" collapsed="false">
      <c r="A295" s="17"/>
      <c r="B295" s="17"/>
      <c r="C295" s="19"/>
      <c r="D295" s="18"/>
      <c r="E295" s="22"/>
      <c r="F295" s="22"/>
      <c r="G295" s="17"/>
    </row>
    <row r="296" customFormat="false" ht="15" hidden="false" customHeight="false" outlineLevel="0" collapsed="false">
      <c r="A296" s="17"/>
      <c r="B296" s="17"/>
      <c r="C296" s="19"/>
      <c r="D296" s="18"/>
      <c r="E296" s="22"/>
      <c r="F296" s="22"/>
      <c r="G296" s="17"/>
    </row>
    <row r="297" customFormat="false" ht="15" hidden="false" customHeight="false" outlineLevel="0" collapsed="false">
      <c r="A297" s="17"/>
      <c r="B297" s="17"/>
      <c r="C297" s="19"/>
      <c r="D297" s="18"/>
      <c r="E297" s="22"/>
      <c r="F297" s="22"/>
      <c r="G297" s="17"/>
    </row>
    <row r="298" customFormat="false" ht="15" hidden="false" customHeight="false" outlineLevel="0" collapsed="false">
      <c r="A298" s="17"/>
      <c r="B298" s="17"/>
      <c r="C298" s="19"/>
      <c r="D298" s="18"/>
      <c r="E298" s="22"/>
      <c r="F298" s="22"/>
      <c r="G298" s="17"/>
    </row>
    <row r="299" customFormat="false" ht="15" hidden="false" customHeight="false" outlineLevel="0" collapsed="false">
      <c r="A299" s="17"/>
      <c r="B299" s="17"/>
      <c r="C299" s="19"/>
      <c r="D299" s="18"/>
      <c r="E299" s="22"/>
      <c r="F299" s="22"/>
      <c r="G299" s="17"/>
    </row>
    <row r="300" customFormat="false" ht="15" hidden="false" customHeight="false" outlineLevel="0" collapsed="false">
      <c r="A300" s="17"/>
      <c r="B300" s="17"/>
      <c r="C300" s="19"/>
      <c r="D300" s="18"/>
      <c r="E300" s="22"/>
      <c r="F300" s="22"/>
      <c r="G300" s="17"/>
    </row>
    <row r="301" customFormat="false" ht="15" hidden="false" customHeight="false" outlineLevel="0" collapsed="false">
      <c r="A301" s="17"/>
      <c r="B301" s="17"/>
      <c r="C301" s="19"/>
      <c r="D301" s="18"/>
      <c r="E301" s="22"/>
      <c r="F301" s="22"/>
      <c r="G301" s="17"/>
    </row>
    <row r="302" customFormat="false" ht="15" hidden="false" customHeight="false" outlineLevel="0" collapsed="false">
      <c r="A302" s="17"/>
      <c r="B302" s="17"/>
      <c r="C302" s="19"/>
      <c r="D302" s="18"/>
      <c r="E302" s="22"/>
      <c r="F302" s="22"/>
      <c r="G302" s="17"/>
    </row>
    <row r="303" customFormat="false" ht="15" hidden="false" customHeight="false" outlineLevel="0" collapsed="false">
      <c r="A303" s="17"/>
      <c r="B303" s="17"/>
      <c r="C303" s="19"/>
      <c r="D303" s="18"/>
      <c r="E303" s="22"/>
      <c r="F303" s="22"/>
      <c r="G303" s="17"/>
    </row>
    <row r="304" customFormat="false" ht="15" hidden="false" customHeight="false" outlineLevel="0" collapsed="false">
      <c r="A304" s="17"/>
      <c r="B304" s="17"/>
      <c r="C304" s="19"/>
      <c r="D304" s="18"/>
      <c r="E304" s="22"/>
      <c r="F304" s="22"/>
      <c r="G304" s="17"/>
    </row>
    <row r="305" customFormat="false" ht="15" hidden="false" customHeight="false" outlineLevel="0" collapsed="false">
      <c r="A305" s="17"/>
      <c r="B305" s="17"/>
      <c r="C305" s="19"/>
      <c r="D305" s="18"/>
      <c r="E305" s="22"/>
      <c r="F305" s="22"/>
      <c r="G305" s="17"/>
    </row>
    <row r="306" customFormat="false" ht="15" hidden="false" customHeight="false" outlineLevel="0" collapsed="false">
      <c r="A306" s="17"/>
      <c r="B306" s="17"/>
      <c r="C306" s="19"/>
      <c r="D306" s="18"/>
      <c r="E306" s="22"/>
      <c r="F306" s="22"/>
      <c r="G306" s="17"/>
    </row>
    <row r="307" customFormat="false" ht="15" hidden="false" customHeight="false" outlineLevel="0" collapsed="false">
      <c r="A307" s="17"/>
      <c r="B307" s="17"/>
      <c r="C307" s="19"/>
      <c r="D307" s="18"/>
      <c r="E307" s="22"/>
      <c r="F307" s="22"/>
      <c r="G307" s="17"/>
    </row>
    <row r="308" customFormat="false" ht="15" hidden="false" customHeight="false" outlineLevel="0" collapsed="false">
      <c r="A308" s="17"/>
      <c r="B308" s="17"/>
      <c r="C308" s="19"/>
      <c r="D308" s="18"/>
      <c r="E308" s="22"/>
      <c r="F308" s="22"/>
      <c r="G308" s="17"/>
    </row>
    <row r="309" customFormat="false" ht="15" hidden="false" customHeight="false" outlineLevel="0" collapsed="false">
      <c r="A309" s="17"/>
      <c r="B309" s="17"/>
      <c r="C309" s="19"/>
      <c r="D309" s="18"/>
      <c r="E309" s="22"/>
      <c r="F309" s="22"/>
      <c r="G309" s="17"/>
    </row>
    <row r="310" customFormat="false" ht="15" hidden="false" customHeight="false" outlineLevel="0" collapsed="false">
      <c r="A310" s="17"/>
      <c r="B310" s="17"/>
      <c r="C310" s="19"/>
      <c r="D310" s="18"/>
      <c r="E310" s="22"/>
      <c r="F310" s="22"/>
      <c r="G310" s="17"/>
    </row>
    <row r="311" customFormat="false" ht="15" hidden="false" customHeight="false" outlineLevel="0" collapsed="false">
      <c r="A311" s="17"/>
      <c r="B311" s="17"/>
      <c r="C311" s="19"/>
      <c r="D311" s="18"/>
      <c r="E311" s="22"/>
      <c r="F311" s="22"/>
      <c r="G311" s="17"/>
    </row>
    <row r="312" customFormat="false" ht="15" hidden="false" customHeight="false" outlineLevel="0" collapsed="false">
      <c r="A312" s="17"/>
      <c r="B312" s="17"/>
      <c r="C312" s="19"/>
      <c r="D312" s="18"/>
      <c r="E312" s="22"/>
      <c r="F312" s="22"/>
      <c r="G312" s="17"/>
    </row>
    <row r="313" customFormat="false" ht="15" hidden="false" customHeight="false" outlineLevel="0" collapsed="false">
      <c r="A313" s="17"/>
      <c r="B313" s="17"/>
      <c r="C313" s="19"/>
      <c r="D313" s="18"/>
      <c r="E313" s="22"/>
      <c r="F313" s="22"/>
      <c r="G313" s="17"/>
    </row>
    <row r="314" customFormat="false" ht="15" hidden="false" customHeight="false" outlineLevel="0" collapsed="false">
      <c r="A314" s="17"/>
      <c r="B314" s="17"/>
      <c r="C314" s="19"/>
      <c r="D314" s="18"/>
      <c r="E314" s="22"/>
      <c r="F314" s="22"/>
      <c r="G314" s="17"/>
    </row>
    <row r="315" customFormat="false" ht="15" hidden="false" customHeight="false" outlineLevel="0" collapsed="false">
      <c r="A315" s="17"/>
      <c r="B315" s="17"/>
      <c r="C315" s="19"/>
      <c r="D315" s="18"/>
      <c r="E315" s="22"/>
      <c r="F315" s="22"/>
      <c r="G315" s="17"/>
    </row>
    <row r="316" customFormat="false" ht="15" hidden="false" customHeight="false" outlineLevel="0" collapsed="false">
      <c r="A316" s="17"/>
      <c r="B316" s="17"/>
      <c r="C316" s="19"/>
      <c r="D316" s="18"/>
      <c r="E316" s="22"/>
      <c r="F316" s="22"/>
      <c r="G316" s="17"/>
    </row>
    <row r="317" customFormat="false" ht="15" hidden="false" customHeight="false" outlineLevel="0" collapsed="false">
      <c r="A317" s="17"/>
      <c r="B317" s="17"/>
      <c r="C317" s="19"/>
      <c r="D317" s="18"/>
      <c r="E317" s="22"/>
      <c r="F317" s="22"/>
      <c r="G317" s="17"/>
    </row>
    <row r="318" customFormat="false" ht="15" hidden="false" customHeight="false" outlineLevel="0" collapsed="false">
      <c r="A318" s="17"/>
      <c r="B318" s="17"/>
      <c r="C318" s="19"/>
      <c r="D318" s="18"/>
      <c r="E318" s="22"/>
      <c r="F318" s="22"/>
      <c r="G318" s="17"/>
    </row>
    <row r="319" customFormat="false" ht="15" hidden="false" customHeight="false" outlineLevel="0" collapsed="false">
      <c r="A319" s="17"/>
      <c r="B319" s="17"/>
      <c r="C319" s="19"/>
      <c r="D319" s="18"/>
      <c r="E319" s="22"/>
      <c r="F319" s="22"/>
      <c r="G319" s="17"/>
    </row>
    <row r="320" customFormat="false" ht="15" hidden="false" customHeight="false" outlineLevel="0" collapsed="false">
      <c r="A320" s="17"/>
      <c r="B320" s="17"/>
      <c r="C320" s="19"/>
      <c r="D320" s="18"/>
      <c r="E320" s="22"/>
      <c r="F320" s="22"/>
      <c r="G320" s="17"/>
    </row>
    <row r="321" customFormat="false" ht="15" hidden="false" customHeight="false" outlineLevel="0" collapsed="false">
      <c r="A321" s="17"/>
      <c r="B321" s="17"/>
      <c r="C321" s="19"/>
      <c r="D321" s="18"/>
      <c r="E321" s="22"/>
      <c r="F321" s="22"/>
      <c r="G321" s="17"/>
    </row>
    <row r="322" customFormat="false" ht="15" hidden="false" customHeight="false" outlineLevel="0" collapsed="false">
      <c r="A322" s="17"/>
      <c r="B322" s="17"/>
      <c r="C322" s="19"/>
      <c r="D322" s="18"/>
      <c r="E322" s="22"/>
      <c r="F322" s="22"/>
      <c r="G322" s="17"/>
    </row>
    <row r="323" customFormat="false" ht="15" hidden="false" customHeight="false" outlineLevel="0" collapsed="false">
      <c r="A323" s="17"/>
      <c r="B323" s="17"/>
      <c r="C323" s="19"/>
      <c r="D323" s="18"/>
      <c r="E323" s="22"/>
      <c r="F323" s="22"/>
      <c r="G323" s="17"/>
    </row>
    <row r="324" customFormat="false" ht="15" hidden="false" customHeight="false" outlineLevel="0" collapsed="false">
      <c r="A324" s="17"/>
      <c r="B324" s="17"/>
      <c r="C324" s="19"/>
      <c r="D324" s="18"/>
      <c r="E324" s="22"/>
      <c r="F324" s="22"/>
      <c r="G324" s="17"/>
    </row>
    <row r="325" customFormat="false" ht="15" hidden="false" customHeight="false" outlineLevel="0" collapsed="false">
      <c r="A325" s="17"/>
      <c r="B325" s="17"/>
      <c r="C325" s="19"/>
      <c r="D325" s="18"/>
      <c r="E325" s="22"/>
      <c r="F325" s="22"/>
      <c r="G325" s="17"/>
    </row>
    <row r="326" customFormat="false" ht="15" hidden="false" customHeight="false" outlineLevel="0" collapsed="false">
      <c r="A326" s="17"/>
      <c r="B326" s="17"/>
      <c r="C326" s="19"/>
      <c r="D326" s="18"/>
      <c r="E326" s="22"/>
      <c r="F326" s="22"/>
      <c r="G326" s="17"/>
    </row>
    <row r="327" customFormat="false" ht="15" hidden="false" customHeight="false" outlineLevel="0" collapsed="false">
      <c r="A327" s="17"/>
      <c r="B327" s="17"/>
      <c r="C327" s="19"/>
      <c r="D327" s="18"/>
      <c r="E327" s="22"/>
      <c r="F327" s="22"/>
      <c r="G327" s="17"/>
    </row>
    <row r="328" customFormat="false" ht="15" hidden="false" customHeight="false" outlineLevel="0" collapsed="false">
      <c r="A328" s="17"/>
      <c r="B328" s="17"/>
      <c r="C328" s="19"/>
      <c r="D328" s="18"/>
      <c r="E328" s="22"/>
      <c r="F328" s="22"/>
      <c r="G328" s="17"/>
    </row>
    <row r="329" customFormat="false" ht="15" hidden="false" customHeight="false" outlineLevel="0" collapsed="false">
      <c r="A329" s="17"/>
      <c r="B329" s="17"/>
      <c r="C329" s="19"/>
      <c r="D329" s="18"/>
      <c r="E329" s="22"/>
      <c r="F329" s="22"/>
      <c r="G329" s="17"/>
    </row>
    <row r="330" customFormat="false" ht="15" hidden="false" customHeight="false" outlineLevel="0" collapsed="false">
      <c r="A330" s="17"/>
      <c r="B330" s="17"/>
      <c r="C330" s="19"/>
      <c r="D330" s="18"/>
      <c r="E330" s="22"/>
      <c r="F330" s="22"/>
      <c r="G330" s="17"/>
    </row>
    <row r="331" customFormat="false" ht="15" hidden="false" customHeight="false" outlineLevel="0" collapsed="false">
      <c r="A331" s="17"/>
      <c r="B331" s="17"/>
      <c r="C331" s="19"/>
      <c r="D331" s="18"/>
      <c r="E331" s="22"/>
      <c r="F331" s="22"/>
      <c r="G331" s="17"/>
    </row>
    <row r="332" customFormat="false" ht="15" hidden="false" customHeight="false" outlineLevel="0" collapsed="false">
      <c r="A332" s="17"/>
      <c r="B332" s="17"/>
      <c r="C332" s="19"/>
      <c r="D332" s="18"/>
      <c r="E332" s="22"/>
      <c r="F332" s="22"/>
      <c r="G332" s="17"/>
    </row>
    <row r="333" customFormat="false" ht="15" hidden="false" customHeight="false" outlineLevel="0" collapsed="false">
      <c r="A333" s="17"/>
      <c r="B333" s="17"/>
      <c r="C333" s="19"/>
      <c r="D333" s="18"/>
      <c r="E333" s="22"/>
      <c r="F333" s="22"/>
      <c r="G333" s="17"/>
    </row>
    <row r="334" customFormat="false" ht="15" hidden="false" customHeight="false" outlineLevel="0" collapsed="false">
      <c r="A334" s="17"/>
      <c r="B334" s="17"/>
      <c r="C334" s="19"/>
      <c r="D334" s="18"/>
      <c r="E334" s="22"/>
      <c r="F334" s="22"/>
      <c r="G334" s="17"/>
    </row>
    <row r="335" customFormat="false" ht="15" hidden="false" customHeight="false" outlineLevel="0" collapsed="false">
      <c r="A335" s="17"/>
      <c r="B335" s="17"/>
      <c r="C335" s="19"/>
      <c r="D335" s="18"/>
      <c r="E335" s="22"/>
      <c r="F335" s="22"/>
      <c r="G335" s="17"/>
    </row>
    <row r="336" customFormat="false" ht="15" hidden="false" customHeight="false" outlineLevel="0" collapsed="false">
      <c r="A336" s="17"/>
      <c r="B336" s="17"/>
      <c r="C336" s="19"/>
      <c r="D336" s="18"/>
      <c r="E336" s="22"/>
      <c r="F336" s="22"/>
      <c r="G336" s="17"/>
    </row>
    <row r="337" customFormat="false" ht="15" hidden="false" customHeight="false" outlineLevel="0" collapsed="false">
      <c r="A337" s="17"/>
      <c r="B337" s="17"/>
      <c r="C337" s="19"/>
      <c r="D337" s="18"/>
      <c r="E337" s="22"/>
      <c r="F337" s="22"/>
      <c r="G337" s="17"/>
    </row>
    <row r="338" customFormat="false" ht="15" hidden="false" customHeight="false" outlineLevel="0" collapsed="false">
      <c r="A338" s="17"/>
      <c r="B338" s="17"/>
      <c r="C338" s="19"/>
      <c r="D338" s="18"/>
      <c r="E338" s="22"/>
      <c r="F338" s="22"/>
      <c r="G338" s="17"/>
    </row>
    <row r="339" customFormat="false" ht="15" hidden="false" customHeight="false" outlineLevel="0" collapsed="false">
      <c r="A339" s="17"/>
      <c r="B339" s="17"/>
      <c r="C339" s="19"/>
      <c r="D339" s="18"/>
      <c r="E339" s="22"/>
      <c r="F339" s="22"/>
      <c r="G339" s="17"/>
    </row>
    <row r="340" customFormat="false" ht="15" hidden="false" customHeight="false" outlineLevel="0" collapsed="false">
      <c r="A340" s="17"/>
      <c r="B340" s="17"/>
      <c r="C340" s="19"/>
      <c r="D340" s="18"/>
      <c r="E340" s="22"/>
      <c r="F340" s="22"/>
      <c r="G340" s="17"/>
    </row>
    <row r="341" customFormat="false" ht="15" hidden="false" customHeight="false" outlineLevel="0" collapsed="false">
      <c r="A341" s="17"/>
      <c r="B341" s="17"/>
      <c r="C341" s="19"/>
      <c r="D341" s="18"/>
      <c r="E341" s="22"/>
      <c r="F341" s="22"/>
      <c r="G341" s="17"/>
    </row>
    <row r="342" customFormat="false" ht="15" hidden="false" customHeight="false" outlineLevel="0" collapsed="false">
      <c r="A342" s="17"/>
      <c r="B342" s="17"/>
      <c r="C342" s="19"/>
      <c r="D342" s="18"/>
      <c r="E342" s="22"/>
      <c r="F342" s="22"/>
      <c r="G342" s="17"/>
    </row>
    <row r="343" customFormat="false" ht="15" hidden="false" customHeight="false" outlineLevel="0" collapsed="false">
      <c r="A343" s="17"/>
      <c r="B343" s="17"/>
      <c r="C343" s="19"/>
      <c r="D343" s="18"/>
      <c r="E343" s="22"/>
      <c r="F343" s="22"/>
      <c r="G343" s="17"/>
    </row>
    <row r="344" customFormat="false" ht="15" hidden="false" customHeight="false" outlineLevel="0" collapsed="false">
      <c r="A344" s="17"/>
      <c r="B344" s="17"/>
      <c r="C344" s="19"/>
      <c r="D344" s="18"/>
      <c r="E344" s="22"/>
      <c r="F344" s="22"/>
      <c r="G344" s="17"/>
    </row>
    <row r="345" customFormat="false" ht="15" hidden="false" customHeight="false" outlineLevel="0" collapsed="false">
      <c r="A345" s="17"/>
      <c r="B345" s="17"/>
      <c r="C345" s="19"/>
      <c r="D345" s="18"/>
      <c r="E345" s="22"/>
      <c r="F345" s="22"/>
      <c r="G345" s="17"/>
    </row>
    <row r="346" customFormat="false" ht="15" hidden="false" customHeight="false" outlineLevel="0" collapsed="false">
      <c r="A346" s="17"/>
      <c r="B346" s="17"/>
      <c r="C346" s="19"/>
      <c r="D346" s="18"/>
      <c r="E346" s="22"/>
      <c r="F346" s="22"/>
      <c r="G346" s="17"/>
    </row>
    <row r="347" customFormat="false" ht="15" hidden="false" customHeight="false" outlineLevel="0" collapsed="false">
      <c r="A347" s="17"/>
      <c r="B347" s="17"/>
      <c r="C347" s="19"/>
      <c r="D347" s="18"/>
      <c r="E347" s="22"/>
      <c r="F347" s="22"/>
      <c r="G347" s="17"/>
    </row>
    <row r="348" customFormat="false" ht="15" hidden="false" customHeight="false" outlineLevel="0" collapsed="false">
      <c r="A348" s="17"/>
      <c r="B348" s="17"/>
      <c r="C348" s="19"/>
      <c r="D348" s="18"/>
      <c r="E348" s="22"/>
      <c r="F348" s="22"/>
      <c r="G348" s="17"/>
    </row>
    <row r="349" customFormat="false" ht="15" hidden="false" customHeight="false" outlineLevel="0" collapsed="false">
      <c r="A349" s="17"/>
      <c r="B349" s="17"/>
      <c r="C349" s="19"/>
      <c r="D349" s="18"/>
      <c r="E349" s="22"/>
      <c r="F349" s="22"/>
      <c r="G349" s="17"/>
    </row>
    <row r="350" customFormat="false" ht="15" hidden="false" customHeight="false" outlineLevel="0" collapsed="false">
      <c r="A350" s="17"/>
      <c r="B350" s="17"/>
      <c r="C350" s="19"/>
      <c r="D350" s="18"/>
      <c r="E350" s="22"/>
      <c r="F350" s="22"/>
      <c r="G350" s="17"/>
    </row>
    <row r="351" customFormat="false" ht="15" hidden="false" customHeight="false" outlineLevel="0" collapsed="false">
      <c r="A351" s="17"/>
      <c r="B351" s="17"/>
      <c r="C351" s="19"/>
      <c r="D351" s="18"/>
      <c r="E351" s="22"/>
      <c r="F351" s="22"/>
      <c r="G351" s="17"/>
    </row>
    <row r="352" customFormat="false" ht="15" hidden="false" customHeight="false" outlineLevel="0" collapsed="false">
      <c r="A352" s="17"/>
      <c r="B352" s="17"/>
      <c r="C352" s="19"/>
      <c r="D352" s="18"/>
      <c r="E352" s="22"/>
      <c r="F352" s="22"/>
      <c r="G352" s="17"/>
    </row>
    <row r="353" customFormat="false" ht="15" hidden="false" customHeight="false" outlineLevel="0" collapsed="false">
      <c r="A353" s="17"/>
      <c r="B353" s="17"/>
      <c r="C353" s="19"/>
      <c r="D353" s="18"/>
      <c r="E353" s="22"/>
      <c r="F353" s="22"/>
      <c r="G353" s="17"/>
    </row>
    <row r="354" customFormat="false" ht="15" hidden="false" customHeight="false" outlineLevel="0" collapsed="false">
      <c r="A354" s="17"/>
      <c r="B354" s="17"/>
      <c r="C354" s="19"/>
      <c r="D354" s="18"/>
      <c r="E354" s="22"/>
      <c r="F354" s="22"/>
      <c r="G354" s="17"/>
    </row>
    <row r="355" customFormat="false" ht="15" hidden="false" customHeight="false" outlineLevel="0" collapsed="false">
      <c r="A355" s="17"/>
      <c r="B355" s="17"/>
      <c r="C355" s="19"/>
      <c r="D355" s="18"/>
      <c r="E355" s="22"/>
      <c r="F355" s="22"/>
      <c r="G355" s="17"/>
    </row>
    <row r="356" customFormat="false" ht="15" hidden="false" customHeight="false" outlineLevel="0" collapsed="false">
      <c r="A356" s="17"/>
      <c r="B356" s="17"/>
      <c r="C356" s="19"/>
      <c r="D356" s="18"/>
      <c r="E356" s="22"/>
      <c r="F356" s="22"/>
      <c r="G356" s="17"/>
    </row>
    <row r="357" customFormat="false" ht="15" hidden="false" customHeight="false" outlineLevel="0" collapsed="false">
      <c r="A357" s="17"/>
      <c r="B357" s="17"/>
      <c r="C357" s="19"/>
      <c r="D357" s="18"/>
      <c r="E357" s="22"/>
      <c r="F357" s="22"/>
      <c r="G357" s="17"/>
    </row>
    <row r="358" customFormat="false" ht="15" hidden="false" customHeight="false" outlineLevel="0" collapsed="false">
      <c r="A358" s="17"/>
      <c r="B358" s="17"/>
      <c r="C358" s="19"/>
      <c r="D358" s="18"/>
      <c r="E358" s="22"/>
      <c r="F358" s="22"/>
      <c r="G358" s="17"/>
    </row>
    <row r="359" customFormat="false" ht="15" hidden="false" customHeight="false" outlineLevel="0" collapsed="false">
      <c r="A359" s="17"/>
      <c r="B359" s="17"/>
      <c r="C359" s="19"/>
      <c r="D359" s="18"/>
      <c r="E359" s="22"/>
      <c r="F359" s="22"/>
      <c r="G359" s="17"/>
    </row>
    <row r="360" customFormat="false" ht="15" hidden="false" customHeight="false" outlineLevel="0" collapsed="false">
      <c r="A360" s="17"/>
      <c r="B360" s="17"/>
      <c r="C360" s="19"/>
      <c r="D360" s="18"/>
      <c r="E360" s="22"/>
      <c r="F360" s="22"/>
      <c r="G360" s="17"/>
    </row>
    <row r="361" customFormat="false" ht="15" hidden="false" customHeight="false" outlineLevel="0" collapsed="false">
      <c r="A361" s="17"/>
      <c r="B361" s="17"/>
      <c r="C361" s="19"/>
      <c r="D361" s="18"/>
      <c r="E361" s="22"/>
      <c r="F361" s="22"/>
      <c r="G361" s="17"/>
    </row>
    <row r="362" customFormat="false" ht="15" hidden="false" customHeight="false" outlineLevel="0" collapsed="false">
      <c r="A362" s="17"/>
      <c r="B362" s="17"/>
      <c r="C362" s="19"/>
      <c r="D362" s="18"/>
      <c r="E362" s="22"/>
      <c r="F362" s="22"/>
      <c r="G362" s="17"/>
    </row>
    <row r="363" customFormat="false" ht="15" hidden="false" customHeight="false" outlineLevel="0" collapsed="false">
      <c r="A363" s="17"/>
      <c r="B363" s="17"/>
      <c r="C363" s="19"/>
      <c r="D363" s="18"/>
      <c r="E363" s="22"/>
      <c r="F363" s="22"/>
      <c r="G363" s="17"/>
    </row>
    <row r="364" customFormat="false" ht="15" hidden="false" customHeight="false" outlineLevel="0" collapsed="false">
      <c r="A364" s="17"/>
      <c r="B364" s="17"/>
      <c r="C364" s="19"/>
      <c r="D364" s="18"/>
      <c r="E364" s="22"/>
      <c r="F364" s="22"/>
      <c r="G364" s="17"/>
    </row>
    <row r="365" customFormat="false" ht="15" hidden="false" customHeight="false" outlineLevel="0" collapsed="false">
      <c r="A365" s="17"/>
      <c r="B365" s="17"/>
      <c r="C365" s="19"/>
      <c r="D365" s="18"/>
      <c r="E365" s="22"/>
      <c r="F365" s="22"/>
      <c r="G365" s="17"/>
    </row>
    <row r="366" customFormat="false" ht="15" hidden="false" customHeight="false" outlineLevel="0" collapsed="false">
      <c r="A366" s="17"/>
      <c r="B366" s="17"/>
      <c r="C366" s="19"/>
      <c r="D366" s="18"/>
      <c r="E366" s="22"/>
      <c r="F366" s="22"/>
      <c r="G366" s="17"/>
    </row>
    <row r="367" customFormat="false" ht="15" hidden="false" customHeight="false" outlineLevel="0" collapsed="false">
      <c r="A367" s="17"/>
      <c r="B367" s="17"/>
      <c r="C367" s="19"/>
      <c r="D367" s="18"/>
      <c r="E367" s="22"/>
      <c r="F367" s="22"/>
      <c r="G367" s="17"/>
    </row>
    <row r="368" customFormat="false" ht="15" hidden="false" customHeight="false" outlineLevel="0" collapsed="false">
      <c r="A368" s="17"/>
      <c r="B368" s="17"/>
      <c r="C368" s="19"/>
      <c r="D368" s="18"/>
      <c r="E368" s="22"/>
      <c r="F368" s="22"/>
      <c r="G368" s="17"/>
    </row>
    <row r="369" customFormat="false" ht="15" hidden="false" customHeight="false" outlineLevel="0" collapsed="false">
      <c r="A369" s="17"/>
      <c r="B369" s="17"/>
      <c r="C369" s="19"/>
      <c r="D369" s="18"/>
      <c r="E369" s="22"/>
      <c r="F369" s="22"/>
      <c r="G369" s="17"/>
    </row>
    <row r="370" customFormat="false" ht="15" hidden="false" customHeight="false" outlineLevel="0" collapsed="false">
      <c r="A370" s="17"/>
      <c r="B370" s="17"/>
      <c r="C370" s="19"/>
      <c r="D370" s="18"/>
      <c r="E370" s="22"/>
      <c r="F370" s="22"/>
      <c r="G370" s="17"/>
    </row>
    <row r="371" customFormat="false" ht="15" hidden="false" customHeight="false" outlineLevel="0" collapsed="false">
      <c r="A371" s="17"/>
      <c r="B371" s="17"/>
      <c r="C371" s="19"/>
      <c r="D371" s="18"/>
      <c r="E371" s="22"/>
      <c r="F371" s="22"/>
      <c r="G371" s="17"/>
    </row>
    <row r="372" customFormat="false" ht="15" hidden="false" customHeight="false" outlineLevel="0" collapsed="false">
      <c r="A372" s="17"/>
      <c r="B372" s="17"/>
      <c r="C372" s="19"/>
      <c r="D372" s="18"/>
      <c r="E372" s="22"/>
      <c r="F372" s="22"/>
      <c r="G372" s="17"/>
    </row>
    <row r="373" customFormat="false" ht="15" hidden="false" customHeight="false" outlineLevel="0" collapsed="false">
      <c r="A373" s="17"/>
      <c r="B373" s="17"/>
      <c r="C373" s="19"/>
      <c r="D373" s="18"/>
      <c r="E373" s="22"/>
      <c r="F373" s="22"/>
      <c r="G373" s="17"/>
    </row>
    <row r="374" customFormat="false" ht="15" hidden="false" customHeight="false" outlineLevel="0" collapsed="false">
      <c r="A374" s="17"/>
      <c r="B374" s="17"/>
      <c r="C374" s="19"/>
      <c r="D374" s="18"/>
      <c r="E374" s="22"/>
      <c r="F374" s="22"/>
      <c r="G374" s="17"/>
    </row>
    <row r="375" customFormat="false" ht="15" hidden="false" customHeight="false" outlineLevel="0" collapsed="false">
      <c r="A375" s="17"/>
      <c r="B375" s="17"/>
      <c r="C375" s="19"/>
      <c r="D375" s="18"/>
      <c r="E375" s="22"/>
      <c r="F375" s="22"/>
      <c r="G375" s="17"/>
    </row>
    <row r="376" customFormat="false" ht="15" hidden="false" customHeight="false" outlineLevel="0" collapsed="false">
      <c r="A376" s="17"/>
      <c r="B376" s="17"/>
      <c r="C376" s="19"/>
      <c r="D376" s="18"/>
      <c r="E376" s="22"/>
      <c r="F376" s="22"/>
      <c r="G376" s="17"/>
    </row>
    <row r="377" customFormat="false" ht="15" hidden="false" customHeight="false" outlineLevel="0" collapsed="false">
      <c r="A377" s="17"/>
      <c r="B377" s="17"/>
      <c r="C377" s="19"/>
      <c r="D377" s="18"/>
      <c r="E377" s="22"/>
      <c r="F377" s="22"/>
      <c r="G377" s="17"/>
    </row>
    <row r="378" customFormat="false" ht="15" hidden="false" customHeight="false" outlineLevel="0" collapsed="false">
      <c r="A378" s="17"/>
      <c r="B378" s="17"/>
      <c r="C378" s="19"/>
      <c r="D378" s="18"/>
      <c r="E378" s="22"/>
      <c r="F378" s="22"/>
      <c r="G378" s="17"/>
    </row>
    <row r="379" customFormat="false" ht="15" hidden="false" customHeight="false" outlineLevel="0" collapsed="false">
      <c r="A379" s="17"/>
      <c r="B379" s="17"/>
      <c r="C379" s="19"/>
      <c r="D379" s="18"/>
      <c r="E379" s="22"/>
      <c r="F379" s="22"/>
      <c r="G379" s="17"/>
    </row>
    <row r="380" customFormat="false" ht="15" hidden="false" customHeight="false" outlineLevel="0" collapsed="false">
      <c r="A380" s="17"/>
      <c r="B380" s="17"/>
      <c r="C380" s="19"/>
      <c r="D380" s="18"/>
      <c r="E380" s="22"/>
      <c r="F380" s="22"/>
      <c r="G380" s="17"/>
    </row>
    <row r="381" customFormat="false" ht="15" hidden="false" customHeight="false" outlineLevel="0" collapsed="false">
      <c r="A381" s="17"/>
      <c r="B381" s="17"/>
      <c r="C381" s="19"/>
      <c r="D381" s="18"/>
      <c r="E381" s="22"/>
      <c r="F381" s="22"/>
      <c r="G381" s="17"/>
    </row>
    <row r="382" customFormat="false" ht="15" hidden="false" customHeight="false" outlineLevel="0" collapsed="false">
      <c r="A382" s="17"/>
      <c r="B382" s="17"/>
      <c r="C382" s="19"/>
      <c r="D382" s="18"/>
      <c r="E382" s="22"/>
      <c r="F382" s="22"/>
      <c r="G382" s="17"/>
    </row>
    <row r="383" customFormat="false" ht="15" hidden="false" customHeight="false" outlineLevel="0" collapsed="false">
      <c r="A383" s="17"/>
      <c r="B383" s="17"/>
      <c r="C383" s="19"/>
      <c r="D383" s="18"/>
      <c r="E383" s="22"/>
      <c r="F383" s="22"/>
      <c r="G383" s="17"/>
    </row>
    <row r="384" customFormat="false" ht="15" hidden="false" customHeight="false" outlineLevel="0" collapsed="false">
      <c r="A384" s="17"/>
      <c r="B384" s="17"/>
      <c r="C384" s="19"/>
      <c r="D384" s="18"/>
      <c r="E384" s="22"/>
      <c r="F384" s="22"/>
      <c r="G384" s="17"/>
    </row>
    <row r="385" customFormat="false" ht="15" hidden="false" customHeight="false" outlineLevel="0" collapsed="false">
      <c r="A385" s="17"/>
      <c r="B385" s="17"/>
      <c r="C385" s="19"/>
      <c r="D385" s="18"/>
      <c r="E385" s="22"/>
      <c r="F385" s="22"/>
      <c r="G385" s="17"/>
    </row>
    <row r="386" customFormat="false" ht="15" hidden="false" customHeight="false" outlineLevel="0" collapsed="false">
      <c r="A386" s="17"/>
      <c r="B386" s="17"/>
      <c r="C386" s="19"/>
      <c r="D386" s="18"/>
      <c r="E386" s="22"/>
      <c r="F386" s="22"/>
      <c r="G386" s="17"/>
    </row>
    <row r="387" customFormat="false" ht="15" hidden="false" customHeight="false" outlineLevel="0" collapsed="false">
      <c r="A387" s="17"/>
      <c r="B387" s="17"/>
      <c r="C387" s="19"/>
      <c r="D387" s="18"/>
      <c r="E387" s="22"/>
      <c r="F387" s="22"/>
      <c r="G387" s="17"/>
    </row>
    <row r="388" customFormat="false" ht="15" hidden="false" customHeight="false" outlineLevel="0" collapsed="false">
      <c r="A388" s="17"/>
      <c r="B388" s="17"/>
      <c r="C388" s="19"/>
      <c r="D388" s="18"/>
      <c r="E388" s="22"/>
      <c r="F388" s="22"/>
      <c r="G388" s="17"/>
    </row>
    <row r="389" customFormat="false" ht="15" hidden="false" customHeight="false" outlineLevel="0" collapsed="false">
      <c r="A389" s="17"/>
      <c r="B389" s="17"/>
      <c r="C389" s="19"/>
      <c r="D389" s="18"/>
      <c r="E389" s="22"/>
      <c r="F389" s="22"/>
      <c r="G389" s="17"/>
    </row>
    <row r="390" customFormat="false" ht="15" hidden="false" customHeight="false" outlineLevel="0" collapsed="false">
      <c r="A390" s="17"/>
      <c r="B390" s="17"/>
      <c r="C390" s="19"/>
      <c r="D390" s="18"/>
      <c r="E390" s="22"/>
      <c r="F390" s="22"/>
      <c r="G390" s="17"/>
    </row>
    <row r="391" customFormat="false" ht="15" hidden="false" customHeight="false" outlineLevel="0" collapsed="false">
      <c r="A391" s="17"/>
      <c r="B391" s="17"/>
      <c r="C391" s="19"/>
      <c r="D391" s="18"/>
      <c r="E391" s="22"/>
      <c r="F391" s="22"/>
      <c r="G391" s="17"/>
    </row>
    <row r="392" customFormat="false" ht="15" hidden="false" customHeight="false" outlineLevel="0" collapsed="false">
      <c r="A392" s="17"/>
      <c r="B392" s="17"/>
      <c r="C392" s="19"/>
      <c r="D392" s="18"/>
      <c r="E392" s="22"/>
      <c r="F392" s="22"/>
      <c r="G392" s="17"/>
    </row>
    <row r="393" customFormat="false" ht="15" hidden="false" customHeight="false" outlineLevel="0" collapsed="false">
      <c r="A393" s="17"/>
      <c r="B393" s="17"/>
      <c r="C393" s="19"/>
      <c r="D393" s="18"/>
      <c r="E393" s="22"/>
      <c r="F393" s="22"/>
      <c r="G393" s="17"/>
    </row>
    <row r="394" customFormat="false" ht="15" hidden="false" customHeight="false" outlineLevel="0" collapsed="false">
      <c r="A394" s="17"/>
      <c r="B394" s="17"/>
      <c r="C394" s="19"/>
      <c r="D394" s="18"/>
      <c r="E394" s="22"/>
      <c r="F394" s="22"/>
      <c r="G394" s="17"/>
    </row>
    <row r="395" customFormat="false" ht="15" hidden="false" customHeight="false" outlineLevel="0" collapsed="false">
      <c r="A395" s="17"/>
      <c r="B395" s="17"/>
      <c r="C395" s="19"/>
      <c r="D395" s="18"/>
      <c r="E395" s="22"/>
      <c r="F395" s="22"/>
      <c r="G395" s="17"/>
    </row>
    <row r="396" customFormat="false" ht="15" hidden="false" customHeight="false" outlineLevel="0" collapsed="false">
      <c r="A396" s="17"/>
      <c r="B396" s="17"/>
      <c r="C396" s="19"/>
      <c r="D396" s="18"/>
      <c r="E396" s="22"/>
      <c r="F396" s="22"/>
      <c r="G396" s="17"/>
    </row>
    <row r="397" customFormat="false" ht="15" hidden="false" customHeight="false" outlineLevel="0" collapsed="false">
      <c r="A397" s="17"/>
      <c r="B397" s="17"/>
      <c r="C397" s="19"/>
      <c r="D397" s="18"/>
      <c r="E397" s="22"/>
      <c r="F397" s="22"/>
      <c r="G397" s="17"/>
    </row>
    <row r="398" customFormat="false" ht="15" hidden="false" customHeight="false" outlineLevel="0" collapsed="false">
      <c r="A398" s="17"/>
      <c r="B398" s="17"/>
      <c r="C398" s="19"/>
      <c r="D398" s="18"/>
      <c r="E398" s="22"/>
      <c r="F398" s="22"/>
      <c r="G398" s="17"/>
    </row>
    <row r="399" customFormat="false" ht="15" hidden="false" customHeight="false" outlineLevel="0" collapsed="false">
      <c r="A399" s="17"/>
      <c r="B399" s="17"/>
      <c r="C399" s="19"/>
      <c r="D399" s="18"/>
      <c r="E399" s="22"/>
      <c r="F399" s="22"/>
      <c r="G399" s="17"/>
    </row>
    <row r="400" customFormat="false" ht="15" hidden="false" customHeight="false" outlineLevel="0" collapsed="false">
      <c r="A400" s="17"/>
      <c r="B400" s="17"/>
      <c r="C400" s="19"/>
      <c r="D400" s="18"/>
      <c r="E400" s="22"/>
      <c r="F400" s="22"/>
      <c r="G400" s="17"/>
    </row>
    <row r="401" customFormat="false" ht="15" hidden="false" customHeight="false" outlineLevel="0" collapsed="false">
      <c r="A401" s="17"/>
      <c r="B401" s="17"/>
      <c r="C401" s="19"/>
      <c r="D401" s="18"/>
      <c r="E401" s="22"/>
      <c r="F401" s="22"/>
      <c r="G401" s="17"/>
    </row>
    <row r="402" customFormat="false" ht="15" hidden="false" customHeight="false" outlineLevel="0" collapsed="false">
      <c r="A402" s="17"/>
      <c r="B402" s="17"/>
      <c r="C402" s="19"/>
      <c r="D402" s="18"/>
      <c r="E402" s="22"/>
      <c r="F402" s="22"/>
      <c r="G402" s="17"/>
    </row>
    <row r="403" customFormat="false" ht="15" hidden="false" customHeight="false" outlineLevel="0" collapsed="false">
      <c r="A403" s="17"/>
      <c r="B403" s="17"/>
      <c r="C403" s="19"/>
      <c r="D403" s="18"/>
      <c r="E403" s="22"/>
      <c r="F403" s="22"/>
      <c r="G403" s="17"/>
    </row>
    <row r="404" customFormat="false" ht="15" hidden="false" customHeight="false" outlineLevel="0" collapsed="false">
      <c r="A404" s="17"/>
      <c r="B404" s="17"/>
      <c r="C404" s="19"/>
      <c r="D404" s="18"/>
      <c r="E404" s="22"/>
      <c r="F404" s="22"/>
      <c r="G404" s="17"/>
    </row>
    <row r="405" customFormat="false" ht="15" hidden="false" customHeight="false" outlineLevel="0" collapsed="false">
      <c r="A405" s="17"/>
      <c r="B405" s="17"/>
      <c r="C405" s="19"/>
      <c r="D405" s="18"/>
      <c r="E405" s="22"/>
      <c r="F405" s="22"/>
      <c r="G405" s="17"/>
    </row>
    <row r="406" customFormat="false" ht="15" hidden="false" customHeight="false" outlineLevel="0" collapsed="false">
      <c r="A406" s="17"/>
      <c r="B406" s="17"/>
      <c r="C406" s="19"/>
      <c r="D406" s="18"/>
      <c r="E406" s="22"/>
      <c r="F406" s="22"/>
      <c r="G406" s="17"/>
    </row>
    <row r="407" customFormat="false" ht="15" hidden="false" customHeight="false" outlineLevel="0" collapsed="false">
      <c r="A407" s="17"/>
      <c r="B407" s="17"/>
      <c r="C407" s="19"/>
      <c r="D407" s="18"/>
      <c r="E407" s="22"/>
      <c r="F407" s="22"/>
      <c r="G407" s="17"/>
    </row>
    <row r="408" customFormat="false" ht="15" hidden="false" customHeight="false" outlineLevel="0" collapsed="false">
      <c r="A408" s="17"/>
      <c r="B408" s="17"/>
      <c r="C408" s="19"/>
      <c r="D408" s="18"/>
      <c r="E408" s="22"/>
      <c r="F408" s="22"/>
      <c r="G408" s="17"/>
    </row>
    <row r="409" customFormat="false" ht="15" hidden="false" customHeight="false" outlineLevel="0" collapsed="false">
      <c r="A409" s="17"/>
      <c r="B409" s="17"/>
      <c r="C409" s="19"/>
      <c r="D409" s="18"/>
      <c r="E409" s="22"/>
      <c r="F409" s="22"/>
      <c r="G409" s="17"/>
    </row>
    <row r="410" customFormat="false" ht="15" hidden="false" customHeight="false" outlineLevel="0" collapsed="false">
      <c r="A410" s="17"/>
      <c r="B410" s="17"/>
      <c r="C410" s="19"/>
      <c r="D410" s="18"/>
      <c r="E410" s="22"/>
      <c r="F410" s="22"/>
      <c r="G410" s="17"/>
    </row>
    <row r="411" customFormat="false" ht="15" hidden="false" customHeight="false" outlineLevel="0" collapsed="false">
      <c r="A411" s="17"/>
      <c r="B411" s="17"/>
      <c r="C411" s="19"/>
      <c r="D411" s="18"/>
      <c r="E411" s="22"/>
      <c r="F411" s="22"/>
      <c r="G411" s="17"/>
    </row>
    <row r="412" customFormat="false" ht="15" hidden="false" customHeight="false" outlineLevel="0" collapsed="false">
      <c r="A412" s="17"/>
      <c r="B412" s="17"/>
      <c r="C412" s="19"/>
      <c r="D412" s="18"/>
      <c r="E412" s="22"/>
      <c r="F412" s="22"/>
      <c r="G412" s="17"/>
    </row>
    <row r="413" customFormat="false" ht="15" hidden="false" customHeight="false" outlineLevel="0" collapsed="false">
      <c r="A413" s="17"/>
      <c r="B413" s="17"/>
      <c r="C413" s="19"/>
      <c r="D413" s="18"/>
      <c r="E413" s="22"/>
      <c r="F413" s="22"/>
      <c r="G413" s="17"/>
    </row>
    <row r="414" customFormat="false" ht="15" hidden="false" customHeight="false" outlineLevel="0" collapsed="false">
      <c r="A414" s="17"/>
      <c r="B414" s="17"/>
      <c r="C414" s="19"/>
      <c r="D414" s="18"/>
      <c r="E414" s="22"/>
      <c r="F414" s="22"/>
      <c r="G414" s="17"/>
    </row>
    <row r="415" customFormat="false" ht="15" hidden="false" customHeight="false" outlineLevel="0" collapsed="false">
      <c r="A415" s="17"/>
      <c r="B415" s="17"/>
      <c r="C415" s="19"/>
      <c r="D415" s="18"/>
      <c r="E415" s="22"/>
      <c r="F415" s="22"/>
      <c r="G415" s="17"/>
    </row>
    <row r="416" customFormat="false" ht="15" hidden="false" customHeight="false" outlineLevel="0" collapsed="false">
      <c r="A416" s="17"/>
      <c r="B416" s="17"/>
      <c r="C416" s="19"/>
      <c r="D416" s="18"/>
      <c r="E416" s="22"/>
      <c r="F416" s="22"/>
      <c r="G416" s="17"/>
    </row>
    <row r="417" customFormat="false" ht="15" hidden="false" customHeight="false" outlineLevel="0" collapsed="false">
      <c r="A417" s="17"/>
      <c r="B417" s="17"/>
      <c r="C417" s="19"/>
      <c r="D417" s="18"/>
      <c r="E417" s="22"/>
      <c r="F417" s="22"/>
      <c r="G417" s="17"/>
    </row>
    <row r="418" customFormat="false" ht="15" hidden="false" customHeight="false" outlineLevel="0" collapsed="false">
      <c r="A418" s="17"/>
      <c r="B418" s="17"/>
      <c r="C418" s="19"/>
      <c r="D418" s="18"/>
      <c r="E418" s="22"/>
      <c r="F418" s="22"/>
      <c r="G418" s="17"/>
    </row>
    <row r="419" customFormat="false" ht="15" hidden="false" customHeight="false" outlineLevel="0" collapsed="false">
      <c r="A419" s="17"/>
      <c r="B419" s="17"/>
      <c r="C419" s="19"/>
      <c r="D419" s="18"/>
      <c r="E419" s="22"/>
      <c r="F419" s="22"/>
      <c r="G419" s="17"/>
    </row>
    <row r="420" customFormat="false" ht="15" hidden="false" customHeight="false" outlineLevel="0" collapsed="false">
      <c r="A420" s="17"/>
      <c r="B420" s="17"/>
      <c r="C420" s="19"/>
      <c r="D420" s="18"/>
      <c r="E420" s="22"/>
      <c r="F420" s="22"/>
      <c r="G420" s="17"/>
    </row>
    <row r="421" customFormat="false" ht="15" hidden="false" customHeight="false" outlineLevel="0" collapsed="false">
      <c r="A421" s="17"/>
      <c r="B421" s="17"/>
      <c r="C421" s="19"/>
      <c r="D421" s="18"/>
      <c r="E421" s="22"/>
      <c r="F421" s="22"/>
      <c r="G421" s="17"/>
    </row>
    <row r="422" customFormat="false" ht="15" hidden="false" customHeight="false" outlineLevel="0" collapsed="false">
      <c r="A422" s="17"/>
      <c r="B422" s="17"/>
      <c r="C422" s="19"/>
      <c r="D422" s="18"/>
      <c r="E422" s="22"/>
      <c r="F422" s="22"/>
      <c r="G422" s="17"/>
    </row>
    <row r="423" customFormat="false" ht="15" hidden="false" customHeight="false" outlineLevel="0" collapsed="false">
      <c r="A423" s="17"/>
      <c r="B423" s="17"/>
      <c r="C423" s="19"/>
      <c r="D423" s="18"/>
      <c r="E423" s="22"/>
      <c r="F423" s="22"/>
      <c r="G423" s="17"/>
    </row>
    <row r="424" customFormat="false" ht="15" hidden="false" customHeight="false" outlineLevel="0" collapsed="false">
      <c r="A424" s="17"/>
      <c r="B424" s="17"/>
      <c r="C424" s="19"/>
      <c r="D424" s="18"/>
      <c r="E424" s="22"/>
      <c r="F424" s="22"/>
      <c r="G424" s="17"/>
    </row>
    <row r="425" customFormat="false" ht="15" hidden="false" customHeight="false" outlineLevel="0" collapsed="false">
      <c r="A425" s="17"/>
      <c r="B425" s="17"/>
      <c r="C425" s="19"/>
      <c r="D425" s="18"/>
      <c r="E425" s="22"/>
      <c r="F425" s="22"/>
      <c r="G425" s="17"/>
    </row>
    <row r="426" customFormat="false" ht="15" hidden="false" customHeight="false" outlineLevel="0" collapsed="false">
      <c r="A426" s="17"/>
      <c r="B426" s="17"/>
      <c r="C426" s="19"/>
      <c r="D426" s="18"/>
      <c r="E426" s="22"/>
      <c r="F426" s="22"/>
      <c r="G426" s="17"/>
    </row>
    <row r="427" customFormat="false" ht="15" hidden="false" customHeight="false" outlineLevel="0" collapsed="false">
      <c r="A427" s="17"/>
      <c r="B427" s="17"/>
      <c r="C427" s="19"/>
      <c r="D427" s="18"/>
      <c r="E427" s="22"/>
      <c r="F427" s="22"/>
      <c r="G427" s="17"/>
    </row>
    <row r="428" customFormat="false" ht="15" hidden="false" customHeight="false" outlineLevel="0" collapsed="false">
      <c r="A428" s="17"/>
      <c r="B428" s="17"/>
      <c r="C428" s="19"/>
      <c r="D428" s="18"/>
      <c r="E428" s="22"/>
      <c r="F428" s="22"/>
      <c r="G428" s="17"/>
    </row>
    <row r="429" customFormat="false" ht="15" hidden="false" customHeight="false" outlineLevel="0" collapsed="false">
      <c r="A429" s="17"/>
      <c r="B429" s="17"/>
      <c r="C429" s="19"/>
      <c r="D429" s="18"/>
      <c r="E429" s="22"/>
      <c r="F429" s="22"/>
      <c r="G429" s="17"/>
    </row>
    <row r="430" customFormat="false" ht="15" hidden="false" customHeight="false" outlineLevel="0" collapsed="false">
      <c r="A430" s="17"/>
      <c r="B430" s="17"/>
      <c r="C430" s="19"/>
      <c r="D430" s="18"/>
      <c r="E430" s="22"/>
      <c r="F430" s="22"/>
      <c r="G430" s="17"/>
    </row>
    <row r="431" customFormat="false" ht="15" hidden="false" customHeight="false" outlineLevel="0" collapsed="false">
      <c r="A431" s="17"/>
      <c r="B431" s="17"/>
      <c r="C431" s="19"/>
      <c r="D431" s="18"/>
      <c r="E431" s="22"/>
      <c r="F431" s="22"/>
      <c r="G431" s="17"/>
    </row>
    <row r="432" customFormat="false" ht="15" hidden="false" customHeight="false" outlineLevel="0" collapsed="false">
      <c r="A432" s="17"/>
      <c r="B432" s="17"/>
      <c r="C432" s="19"/>
      <c r="D432" s="18"/>
      <c r="E432" s="22"/>
      <c r="F432" s="22"/>
      <c r="G432" s="17"/>
    </row>
    <row r="433" customFormat="false" ht="15" hidden="false" customHeight="false" outlineLevel="0" collapsed="false">
      <c r="A433" s="17"/>
      <c r="B433" s="17"/>
      <c r="C433" s="19"/>
      <c r="D433" s="18"/>
      <c r="E433" s="22"/>
      <c r="F433" s="22"/>
      <c r="G433" s="17"/>
    </row>
    <row r="434" customFormat="false" ht="15" hidden="false" customHeight="false" outlineLevel="0" collapsed="false">
      <c r="A434" s="17"/>
      <c r="B434" s="17"/>
      <c r="C434" s="19"/>
      <c r="D434" s="18"/>
      <c r="E434" s="22"/>
      <c r="F434" s="22"/>
      <c r="G434" s="17"/>
    </row>
    <row r="435" customFormat="false" ht="15" hidden="false" customHeight="false" outlineLevel="0" collapsed="false">
      <c r="A435" s="17"/>
      <c r="B435" s="17"/>
      <c r="C435" s="19"/>
      <c r="D435" s="18"/>
      <c r="E435" s="22"/>
      <c r="F435" s="22"/>
      <c r="G435" s="17"/>
    </row>
    <row r="436" customFormat="false" ht="15" hidden="false" customHeight="false" outlineLevel="0" collapsed="false">
      <c r="A436" s="17"/>
      <c r="B436" s="17"/>
      <c r="C436" s="19"/>
      <c r="D436" s="18"/>
      <c r="E436" s="22"/>
      <c r="F436" s="22"/>
      <c r="G436" s="17"/>
    </row>
    <row r="437" customFormat="false" ht="15" hidden="false" customHeight="false" outlineLevel="0" collapsed="false">
      <c r="A437" s="17"/>
      <c r="B437" s="17"/>
      <c r="C437" s="19"/>
      <c r="D437" s="18"/>
      <c r="E437" s="22"/>
      <c r="F437" s="22"/>
      <c r="G437" s="17"/>
    </row>
    <row r="438" customFormat="false" ht="15" hidden="false" customHeight="false" outlineLevel="0" collapsed="false">
      <c r="A438" s="17"/>
      <c r="B438" s="17"/>
      <c r="C438" s="19"/>
      <c r="D438" s="18"/>
      <c r="E438" s="22"/>
      <c r="F438" s="22"/>
      <c r="G438" s="17"/>
    </row>
    <row r="439" customFormat="false" ht="15" hidden="false" customHeight="false" outlineLevel="0" collapsed="false">
      <c r="A439" s="17"/>
      <c r="B439" s="17"/>
      <c r="C439" s="19"/>
      <c r="D439" s="18"/>
      <c r="E439" s="22"/>
      <c r="F439" s="22"/>
      <c r="G439" s="17"/>
    </row>
    <row r="440" customFormat="false" ht="15" hidden="false" customHeight="false" outlineLevel="0" collapsed="false">
      <c r="A440" s="17"/>
      <c r="B440" s="17"/>
      <c r="C440" s="19"/>
      <c r="D440" s="18"/>
      <c r="E440" s="22"/>
      <c r="F440" s="22"/>
      <c r="G440" s="17"/>
    </row>
    <row r="441" customFormat="false" ht="15" hidden="false" customHeight="false" outlineLevel="0" collapsed="false">
      <c r="A441" s="17"/>
      <c r="B441" s="17"/>
      <c r="C441" s="19"/>
      <c r="D441" s="18"/>
      <c r="E441" s="22"/>
      <c r="F441" s="22"/>
      <c r="G441" s="17"/>
    </row>
    <row r="442" customFormat="false" ht="15" hidden="false" customHeight="false" outlineLevel="0" collapsed="false">
      <c r="A442" s="17"/>
      <c r="B442" s="17"/>
      <c r="C442" s="19"/>
      <c r="D442" s="18"/>
      <c r="E442" s="22"/>
      <c r="F442" s="22"/>
      <c r="G442" s="17"/>
    </row>
    <row r="443" customFormat="false" ht="15" hidden="false" customHeight="false" outlineLevel="0" collapsed="false">
      <c r="A443" s="17"/>
      <c r="B443" s="17"/>
      <c r="C443" s="19"/>
      <c r="D443" s="18"/>
      <c r="E443" s="22"/>
      <c r="F443" s="22"/>
      <c r="G443" s="17"/>
    </row>
    <row r="444" customFormat="false" ht="15" hidden="false" customHeight="false" outlineLevel="0" collapsed="false">
      <c r="A444" s="17"/>
      <c r="B444" s="17"/>
      <c r="C444" s="19"/>
      <c r="D444" s="18"/>
      <c r="E444" s="22"/>
      <c r="F444" s="22"/>
      <c r="G444" s="17"/>
    </row>
    <row r="445" customFormat="false" ht="15" hidden="false" customHeight="false" outlineLevel="0" collapsed="false">
      <c r="A445" s="17"/>
      <c r="B445" s="17"/>
      <c r="C445" s="19"/>
      <c r="D445" s="18"/>
      <c r="E445" s="22"/>
      <c r="F445" s="22"/>
      <c r="G445" s="17"/>
    </row>
    <row r="446" customFormat="false" ht="15" hidden="false" customHeight="false" outlineLevel="0" collapsed="false">
      <c r="A446" s="17"/>
      <c r="B446" s="17"/>
      <c r="C446" s="19"/>
      <c r="D446" s="18"/>
      <c r="E446" s="22"/>
      <c r="F446" s="22"/>
      <c r="G446" s="17"/>
    </row>
    <row r="447" customFormat="false" ht="15" hidden="false" customHeight="false" outlineLevel="0" collapsed="false">
      <c r="A447" s="17"/>
      <c r="B447" s="17"/>
      <c r="C447" s="19"/>
      <c r="D447" s="18"/>
      <c r="E447" s="22"/>
      <c r="F447" s="22"/>
      <c r="G447" s="17"/>
    </row>
    <row r="448" customFormat="false" ht="15" hidden="false" customHeight="false" outlineLevel="0" collapsed="false">
      <c r="A448" s="17"/>
      <c r="B448" s="17"/>
      <c r="C448" s="19"/>
      <c r="D448" s="18"/>
      <c r="E448" s="22"/>
      <c r="F448" s="22"/>
      <c r="G448" s="17"/>
    </row>
    <row r="449" customFormat="false" ht="15" hidden="false" customHeight="false" outlineLevel="0" collapsed="false">
      <c r="A449" s="17"/>
      <c r="B449" s="17"/>
      <c r="C449" s="19"/>
      <c r="D449" s="18"/>
      <c r="E449" s="22"/>
      <c r="F449" s="22"/>
      <c r="G449" s="17"/>
    </row>
    <row r="450" customFormat="false" ht="15" hidden="false" customHeight="false" outlineLevel="0" collapsed="false">
      <c r="A450" s="17"/>
      <c r="B450" s="17"/>
      <c r="C450" s="19"/>
      <c r="D450" s="18"/>
      <c r="E450" s="22"/>
      <c r="F450" s="22"/>
      <c r="G450" s="17"/>
    </row>
    <row r="451" customFormat="false" ht="15" hidden="false" customHeight="false" outlineLevel="0" collapsed="false">
      <c r="A451" s="17"/>
      <c r="B451" s="17"/>
      <c r="C451" s="19"/>
      <c r="D451" s="18"/>
      <c r="E451" s="22"/>
      <c r="F451" s="22"/>
      <c r="G451" s="17"/>
    </row>
    <row r="452" customFormat="false" ht="15" hidden="false" customHeight="false" outlineLevel="0" collapsed="false">
      <c r="A452" s="17"/>
      <c r="B452" s="17"/>
      <c r="C452" s="19"/>
      <c r="D452" s="18"/>
      <c r="E452" s="22"/>
      <c r="F452" s="22"/>
      <c r="G452" s="17"/>
    </row>
    <row r="453" customFormat="false" ht="15" hidden="false" customHeight="false" outlineLevel="0" collapsed="false">
      <c r="A453" s="17"/>
      <c r="B453" s="17"/>
      <c r="C453" s="19"/>
      <c r="D453" s="18"/>
      <c r="E453" s="22"/>
      <c r="F453" s="22"/>
      <c r="G453" s="17"/>
    </row>
    <row r="454" customFormat="false" ht="15" hidden="false" customHeight="false" outlineLevel="0" collapsed="false">
      <c r="A454" s="17"/>
      <c r="B454" s="17"/>
      <c r="C454" s="19"/>
      <c r="D454" s="18"/>
      <c r="E454" s="22"/>
      <c r="F454" s="22"/>
      <c r="G454" s="17"/>
    </row>
    <row r="455" customFormat="false" ht="15" hidden="false" customHeight="false" outlineLevel="0" collapsed="false">
      <c r="A455" s="17"/>
      <c r="B455" s="17"/>
      <c r="C455" s="19"/>
      <c r="D455" s="18"/>
      <c r="E455" s="22"/>
      <c r="F455" s="22"/>
      <c r="G455" s="17"/>
    </row>
    <row r="456" customFormat="false" ht="15" hidden="false" customHeight="false" outlineLevel="0" collapsed="false">
      <c r="A456" s="17"/>
      <c r="B456" s="17"/>
      <c r="C456" s="19"/>
      <c r="D456" s="18"/>
      <c r="E456" s="22"/>
      <c r="F456" s="22"/>
      <c r="G456" s="17"/>
    </row>
    <row r="457" customFormat="false" ht="15" hidden="false" customHeight="false" outlineLevel="0" collapsed="false">
      <c r="A457" s="17"/>
      <c r="B457" s="17"/>
      <c r="C457" s="19"/>
      <c r="D457" s="18"/>
      <c r="E457" s="22"/>
      <c r="F457" s="22"/>
      <c r="G457" s="17"/>
    </row>
    <row r="458" customFormat="false" ht="15" hidden="false" customHeight="false" outlineLevel="0" collapsed="false">
      <c r="A458" s="17"/>
      <c r="B458" s="17"/>
      <c r="C458" s="19"/>
      <c r="D458" s="18"/>
      <c r="E458" s="22"/>
      <c r="F458" s="22"/>
      <c r="G458" s="17"/>
    </row>
    <row r="459" customFormat="false" ht="15" hidden="false" customHeight="false" outlineLevel="0" collapsed="false">
      <c r="A459" s="17"/>
      <c r="B459" s="17"/>
      <c r="C459" s="19"/>
      <c r="D459" s="18"/>
      <c r="E459" s="22"/>
      <c r="F459" s="22"/>
      <c r="G459" s="17"/>
    </row>
    <row r="460" customFormat="false" ht="15" hidden="false" customHeight="false" outlineLevel="0" collapsed="false">
      <c r="A460" s="17"/>
      <c r="B460" s="17"/>
      <c r="C460" s="19"/>
      <c r="D460" s="18"/>
      <c r="E460" s="22"/>
      <c r="F460" s="22"/>
      <c r="G460" s="17"/>
    </row>
    <row r="461" customFormat="false" ht="15" hidden="false" customHeight="false" outlineLevel="0" collapsed="false">
      <c r="A461" s="17"/>
      <c r="B461" s="17"/>
      <c r="C461" s="19"/>
      <c r="D461" s="18"/>
      <c r="E461" s="22"/>
      <c r="F461" s="22"/>
      <c r="G461" s="17"/>
    </row>
    <row r="462" customFormat="false" ht="15" hidden="false" customHeight="false" outlineLevel="0" collapsed="false">
      <c r="A462" s="17"/>
      <c r="B462" s="17"/>
      <c r="C462" s="19"/>
      <c r="D462" s="18"/>
      <c r="E462" s="22"/>
      <c r="F462" s="22"/>
      <c r="G462" s="17"/>
    </row>
    <row r="463" customFormat="false" ht="15" hidden="false" customHeight="false" outlineLevel="0" collapsed="false">
      <c r="A463" s="17"/>
      <c r="B463" s="17"/>
      <c r="C463" s="19"/>
      <c r="D463" s="18"/>
      <c r="E463" s="22"/>
      <c r="F463" s="22"/>
      <c r="G463" s="17"/>
    </row>
    <row r="464" customFormat="false" ht="15" hidden="false" customHeight="false" outlineLevel="0" collapsed="false">
      <c r="A464" s="17"/>
      <c r="B464" s="17"/>
      <c r="C464" s="19"/>
      <c r="D464" s="18"/>
      <c r="E464" s="22"/>
      <c r="F464" s="22"/>
      <c r="G464" s="17"/>
    </row>
    <row r="465" customFormat="false" ht="15" hidden="false" customHeight="false" outlineLevel="0" collapsed="false">
      <c r="A465" s="17"/>
      <c r="B465" s="17"/>
      <c r="C465" s="19"/>
      <c r="D465" s="18"/>
      <c r="E465" s="22"/>
      <c r="F465" s="22"/>
      <c r="G465" s="17"/>
    </row>
    <row r="466" customFormat="false" ht="15" hidden="false" customHeight="false" outlineLevel="0" collapsed="false">
      <c r="A466" s="17"/>
      <c r="B466" s="17"/>
      <c r="C466" s="19"/>
      <c r="D466" s="18"/>
      <c r="E466" s="22"/>
      <c r="F466" s="22"/>
      <c r="G466" s="17"/>
    </row>
    <row r="467" customFormat="false" ht="15" hidden="false" customHeight="false" outlineLevel="0" collapsed="false">
      <c r="A467" s="17"/>
      <c r="B467" s="17"/>
      <c r="C467" s="19"/>
      <c r="D467" s="18"/>
      <c r="E467" s="22"/>
      <c r="F467" s="22"/>
      <c r="G467" s="17"/>
    </row>
    <row r="468" customFormat="false" ht="15" hidden="false" customHeight="false" outlineLevel="0" collapsed="false">
      <c r="A468" s="17"/>
      <c r="B468" s="17"/>
      <c r="C468" s="19"/>
      <c r="D468" s="18"/>
      <c r="E468" s="22"/>
      <c r="F468" s="22"/>
      <c r="G468" s="17"/>
    </row>
    <row r="469" customFormat="false" ht="15" hidden="false" customHeight="false" outlineLevel="0" collapsed="false">
      <c r="A469" s="17"/>
      <c r="B469" s="17"/>
      <c r="C469" s="19"/>
      <c r="D469" s="18"/>
      <c r="E469" s="22"/>
      <c r="F469" s="22"/>
      <c r="G469" s="17"/>
    </row>
    <row r="470" customFormat="false" ht="15" hidden="false" customHeight="false" outlineLevel="0" collapsed="false">
      <c r="A470" s="17"/>
      <c r="B470" s="17"/>
      <c r="C470" s="19"/>
      <c r="D470" s="18"/>
      <c r="E470" s="22"/>
      <c r="F470" s="22"/>
      <c r="G470" s="17"/>
    </row>
    <row r="471" customFormat="false" ht="15" hidden="false" customHeight="false" outlineLevel="0" collapsed="false">
      <c r="A471" s="17"/>
      <c r="B471" s="17"/>
      <c r="C471" s="19"/>
      <c r="D471" s="18"/>
      <c r="E471" s="22"/>
      <c r="F471" s="22"/>
      <c r="G471" s="17"/>
    </row>
    <row r="472" customFormat="false" ht="15" hidden="false" customHeight="false" outlineLevel="0" collapsed="false">
      <c r="A472" s="17"/>
      <c r="B472" s="17"/>
      <c r="C472" s="19"/>
      <c r="D472" s="18"/>
      <c r="E472" s="22"/>
      <c r="F472" s="22"/>
      <c r="G472" s="17"/>
    </row>
    <row r="473" customFormat="false" ht="15" hidden="false" customHeight="false" outlineLevel="0" collapsed="false">
      <c r="A473" s="17"/>
      <c r="B473" s="17"/>
      <c r="C473" s="19"/>
      <c r="D473" s="18"/>
      <c r="E473" s="22"/>
      <c r="F473" s="22"/>
      <c r="G473" s="17"/>
    </row>
    <row r="474" customFormat="false" ht="15" hidden="false" customHeight="false" outlineLevel="0" collapsed="false">
      <c r="A474" s="17"/>
      <c r="B474" s="17"/>
      <c r="C474" s="19"/>
      <c r="D474" s="18"/>
      <c r="E474" s="22"/>
      <c r="F474" s="22"/>
      <c r="G474" s="17"/>
    </row>
    <row r="475" customFormat="false" ht="15" hidden="false" customHeight="false" outlineLevel="0" collapsed="false">
      <c r="A475" s="17"/>
      <c r="B475" s="17"/>
      <c r="C475" s="19"/>
      <c r="D475" s="18"/>
      <c r="E475" s="22"/>
      <c r="F475" s="22"/>
      <c r="G475" s="17"/>
    </row>
    <row r="476" customFormat="false" ht="15" hidden="false" customHeight="false" outlineLevel="0" collapsed="false">
      <c r="A476" s="17"/>
      <c r="B476" s="17"/>
      <c r="C476" s="19"/>
      <c r="D476" s="18"/>
      <c r="E476" s="22"/>
      <c r="F476" s="22"/>
      <c r="G476" s="17"/>
    </row>
    <row r="477" customFormat="false" ht="15" hidden="false" customHeight="false" outlineLevel="0" collapsed="false">
      <c r="A477" s="17"/>
      <c r="B477" s="17"/>
      <c r="C477" s="19"/>
      <c r="D477" s="18"/>
      <c r="E477" s="22"/>
      <c r="F477" s="22"/>
      <c r="G477" s="17"/>
    </row>
    <row r="478" customFormat="false" ht="15" hidden="false" customHeight="false" outlineLevel="0" collapsed="false">
      <c r="A478" s="17"/>
      <c r="B478" s="17"/>
      <c r="C478" s="19"/>
      <c r="D478" s="18"/>
      <c r="E478" s="22"/>
      <c r="F478" s="22"/>
      <c r="G478" s="17"/>
    </row>
    <row r="479" customFormat="false" ht="15" hidden="false" customHeight="false" outlineLevel="0" collapsed="false">
      <c r="A479" s="17"/>
      <c r="B479" s="17"/>
      <c r="C479" s="19"/>
      <c r="D479" s="18"/>
      <c r="E479" s="22"/>
      <c r="F479" s="22"/>
      <c r="G479" s="17"/>
    </row>
    <row r="480" customFormat="false" ht="15" hidden="false" customHeight="false" outlineLevel="0" collapsed="false">
      <c r="A480" s="17"/>
      <c r="B480" s="17"/>
      <c r="C480" s="19"/>
      <c r="D480" s="18"/>
      <c r="E480" s="22"/>
      <c r="F480" s="22"/>
      <c r="G480" s="17"/>
    </row>
    <row r="481" customFormat="false" ht="15" hidden="false" customHeight="false" outlineLevel="0" collapsed="false">
      <c r="A481" s="17"/>
      <c r="B481" s="17"/>
      <c r="C481" s="19"/>
      <c r="D481" s="18"/>
      <c r="E481" s="22"/>
      <c r="F481" s="22"/>
      <c r="G481" s="17"/>
    </row>
    <row r="482" customFormat="false" ht="15" hidden="false" customHeight="false" outlineLevel="0" collapsed="false">
      <c r="A482" s="17"/>
      <c r="B482" s="17"/>
      <c r="C482" s="19"/>
      <c r="D482" s="18"/>
      <c r="E482" s="22"/>
      <c r="F482" s="22"/>
      <c r="G482" s="17"/>
    </row>
    <row r="483" customFormat="false" ht="15" hidden="false" customHeight="false" outlineLevel="0" collapsed="false">
      <c r="A483" s="17"/>
      <c r="B483" s="17"/>
      <c r="C483" s="19"/>
      <c r="D483" s="18"/>
      <c r="E483" s="22"/>
      <c r="F483" s="22"/>
      <c r="G483" s="17"/>
    </row>
    <row r="484" customFormat="false" ht="15" hidden="false" customHeight="false" outlineLevel="0" collapsed="false">
      <c r="A484" s="17"/>
      <c r="B484" s="17"/>
      <c r="C484" s="19"/>
      <c r="D484" s="18"/>
      <c r="E484" s="22"/>
      <c r="F484" s="22"/>
      <c r="G484" s="17"/>
    </row>
    <row r="485" customFormat="false" ht="15" hidden="false" customHeight="false" outlineLevel="0" collapsed="false">
      <c r="A485" s="17"/>
      <c r="B485" s="17"/>
      <c r="C485" s="19"/>
      <c r="D485" s="18"/>
      <c r="E485" s="22"/>
      <c r="F485" s="22"/>
      <c r="G485" s="17"/>
    </row>
    <row r="486" customFormat="false" ht="15" hidden="false" customHeight="false" outlineLevel="0" collapsed="false">
      <c r="A486" s="17"/>
      <c r="B486" s="17"/>
      <c r="C486" s="19"/>
      <c r="D486" s="18"/>
      <c r="E486" s="22"/>
      <c r="F486" s="22"/>
      <c r="G486" s="17"/>
    </row>
    <row r="487" customFormat="false" ht="15" hidden="false" customHeight="false" outlineLevel="0" collapsed="false">
      <c r="A487" s="17"/>
      <c r="B487" s="17"/>
      <c r="C487" s="19"/>
      <c r="D487" s="18"/>
      <c r="E487" s="22"/>
      <c r="F487" s="22"/>
      <c r="G487" s="17"/>
    </row>
    <row r="488" customFormat="false" ht="15" hidden="false" customHeight="false" outlineLevel="0" collapsed="false">
      <c r="A488" s="17"/>
      <c r="B488" s="17"/>
      <c r="C488" s="19"/>
      <c r="D488" s="18"/>
      <c r="E488" s="22"/>
      <c r="F488" s="22"/>
      <c r="G488" s="17"/>
    </row>
    <row r="489" customFormat="false" ht="15" hidden="false" customHeight="false" outlineLevel="0" collapsed="false">
      <c r="A489" s="17"/>
      <c r="B489" s="17"/>
      <c r="C489" s="19"/>
      <c r="D489" s="18"/>
      <c r="E489" s="22"/>
      <c r="F489" s="22"/>
      <c r="G489" s="17"/>
    </row>
    <row r="490" customFormat="false" ht="15" hidden="false" customHeight="false" outlineLevel="0" collapsed="false">
      <c r="A490" s="17"/>
      <c r="B490" s="17"/>
      <c r="C490" s="19"/>
      <c r="D490" s="18"/>
      <c r="E490" s="22"/>
      <c r="F490" s="22"/>
      <c r="G490" s="17"/>
    </row>
    <row r="491" customFormat="false" ht="15" hidden="false" customHeight="false" outlineLevel="0" collapsed="false">
      <c r="A491" s="17"/>
      <c r="B491" s="17"/>
      <c r="C491" s="19"/>
      <c r="D491" s="18"/>
      <c r="E491" s="22"/>
      <c r="F491" s="22"/>
      <c r="G491" s="17"/>
    </row>
    <row r="492" customFormat="false" ht="15" hidden="false" customHeight="false" outlineLevel="0" collapsed="false">
      <c r="A492" s="17"/>
      <c r="B492" s="17"/>
      <c r="C492" s="19"/>
      <c r="D492" s="18"/>
      <c r="E492" s="22"/>
      <c r="F492" s="22"/>
      <c r="G492" s="17"/>
    </row>
    <row r="493" customFormat="false" ht="15" hidden="false" customHeight="false" outlineLevel="0" collapsed="false">
      <c r="A493" s="17"/>
      <c r="B493" s="17"/>
      <c r="C493" s="19"/>
      <c r="D493" s="18"/>
      <c r="E493" s="22"/>
      <c r="F493" s="22"/>
      <c r="G493" s="17"/>
    </row>
    <row r="494" customFormat="false" ht="15" hidden="false" customHeight="false" outlineLevel="0" collapsed="false">
      <c r="A494" s="17"/>
      <c r="B494" s="17"/>
      <c r="C494" s="19"/>
      <c r="D494" s="18"/>
      <c r="E494" s="22"/>
      <c r="F494" s="22"/>
      <c r="G494" s="17"/>
    </row>
    <row r="495" customFormat="false" ht="15" hidden="false" customHeight="false" outlineLevel="0" collapsed="false">
      <c r="A495" s="17"/>
      <c r="B495" s="17"/>
      <c r="C495" s="19"/>
      <c r="D495" s="18"/>
      <c r="E495" s="22"/>
      <c r="F495" s="22"/>
      <c r="G495" s="17"/>
    </row>
    <row r="496" customFormat="false" ht="15" hidden="false" customHeight="false" outlineLevel="0" collapsed="false">
      <c r="A496" s="17"/>
      <c r="B496" s="17"/>
      <c r="C496" s="19"/>
      <c r="D496" s="18"/>
      <c r="E496" s="22"/>
      <c r="F496" s="22"/>
      <c r="G496" s="17"/>
    </row>
    <row r="497" customFormat="false" ht="15" hidden="false" customHeight="false" outlineLevel="0" collapsed="false">
      <c r="A497" s="17"/>
      <c r="B497" s="17"/>
      <c r="C497" s="19"/>
      <c r="D497" s="18"/>
      <c r="E497" s="22"/>
      <c r="F497" s="22"/>
      <c r="G497" s="17"/>
    </row>
    <row r="498" customFormat="false" ht="15" hidden="false" customHeight="false" outlineLevel="0" collapsed="false">
      <c r="A498" s="17"/>
      <c r="B498" s="17"/>
      <c r="C498" s="19"/>
      <c r="D498" s="18"/>
      <c r="E498" s="22"/>
      <c r="F498" s="22"/>
      <c r="G498" s="17"/>
    </row>
    <row r="499" customFormat="false" ht="15" hidden="false" customHeight="false" outlineLevel="0" collapsed="false">
      <c r="A499" s="17"/>
      <c r="B499" s="17"/>
      <c r="C499" s="19"/>
      <c r="D499" s="18"/>
      <c r="E499" s="22"/>
      <c r="F499" s="22"/>
      <c r="G499" s="17"/>
    </row>
    <row r="500" customFormat="false" ht="15" hidden="false" customHeight="false" outlineLevel="0" collapsed="false">
      <c r="A500" s="17"/>
      <c r="B500" s="17"/>
      <c r="C500" s="19"/>
      <c r="D500" s="18"/>
      <c r="E500" s="22"/>
      <c r="F500" s="22"/>
      <c r="G500" s="17"/>
    </row>
    <row r="501" customFormat="false" ht="15" hidden="false" customHeight="false" outlineLevel="0" collapsed="false">
      <c r="A501" s="17"/>
      <c r="B501" s="17"/>
      <c r="C501" s="19"/>
      <c r="D501" s="18"/>
      <c r="E501" s="22"/>
      <c r="F501" s="22"/>
      <c r="G501" s="17"/>
    </row>
    <row r="502" customFormat="false" ht="15" hidden="false" customHeight="false" outlineLevel="0" collapsed="false">
      <c r="A502" s="17"/>
      <c r="B502" s="17"/>
      <c r="C502" s="19"/>
      <c r="D502" s="18"/>
      <c r="E502" s="22"/>
      <c r="F502" s="22"/>
      <c r="G502" s="17"/>
    </row>
    <row r="503" customFormat="false" ht="15" hidden="false" customHeight="false" outlineLevel="0" collapsed="false">
      <c r="A503" s="17"/>
      <c r="B503" s="17"/>
      <c r="C503" s="19"/>
      <c r="D503" s="18"/>
      <c r="E503" s="22"/>
      <c r="F503" s="22"/>
      <c r="G503" s="17"/>
    </row>
    <row r="504" customFormat="false" ht="15" hidden="false" customHeight="false" outlineLevel="0" collapsed="false">
      <c r="A504" s="17"/>
      <c r="B504" s="17"/>
      <c r="C504" s="19"/>
      <c r="D504" s="18"/>
      <c r="E504" s="22"/>
      <c r="F504" s="22"/>
      <c r="G504" s="17"/>
    </row>
    <row r="505" customFormat="false" ht="15" hidden="false" customHeight="false" outlineLevel="0" collapsed="false">
      <c r="A505" s="17"/>
      <c r="B505" s="17"/>
      <c r="C505" s="19"/>
      <c r="D505" s="18"/>
      <c r="E505" s="22"/>
      <c r="F505" s="22"/>
      <c r="G505" s="17"/>
    </row>
  </sheetData>
  <autoFilter ref="A4:G505"/>
  <dataValidations count="4">
    <dataValidation allowBlank="true" error="Informe uma data válida (dd/mm/aaaa)." errorStyle="stop" errorTitle="Data inválida" operator="greaterThan" showDropDown="false" showErrorMessage="true" showInputMessage="false" sqref="C6:C505" type="date">
      <formula1>36526</formula1>
      <formula2>0</formula2>
    </dataValidation>
    <dataValidation allowBlank="true" error="Informe um número maior ou igual a zero." errorStyle="stop" errorTitle="Valor inválido" operator="greaterThanOrEqual" showDropDown="false" showErrorMessage="true" showInputMessage="false" sqref="E6:F505" type="decimal">
      <formula1>0</formula1>
      <formula2>0</formula2>
    </dataValidation>
    <dataValidation allowBlank="true" error="Escolha uma opção da lista." errorStyle="stop" errorTitle="Opção inválida" operator="between" showDropDown="false" showErrorMessage="true" showInputMessage="false" sqref="A6:A505" type="list">
      <formula1>Listas!$L$2:$L$9</formula1>
      <formula2>0</formula2>
    </dataValidation>
    <dataValidation allowBlank="true" error="Informe 11 dígitos (CPF) ou 14 dígitos (CNPJ). Pontos, traço e barra são aceitos." errorStyle="stop" errorTitle="CPF/CNPJ inválido" operator="between" showDropDown="false" showErrorMessage="true" showInputMessage="false" sqref="D6:D505" type="custom">
      <formula1>AND(ISNUMBER(--SUBSTITUTE(SUBSTITUTE(SUBSTITUTE(D6,".",""),"-",""),"/","")),OR(LEN(SUBSTITUTE(SUBSTITUTE(SUBSTITUTE(D6,".",""),"-",""),"/",""))=11,LEN(SUBSTITUTE(SUBSTITUTE(SUBSTITUTE(D6,".",""),"-",""),"/",""))=14))</formula1>
      <formula2>0</formula2>
    </dataValidation>
  </dataValidations>
  <hyperlinks>
    <hyperlink ref="A3" location="'Menu'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22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7" t="s">
        <v>95</v>
      </c>
    </row>
    <row r="2" customFormat="false" ht="15" hidden="false" customHeight="false" outlineLevel="0" collapsed="false">
      <c r="A2" s="2" t="s">
        <v>96</v>
      </c>
    </row>
    <row r="3" customFormat="false" ht="15" hidden="false" customHeight="false" outlineLevel="0" collapsed="false">
      <c r="A3" s="8" t="s">
        <v>28</v>
      </c>
    </row>
    <row r="4" customFormat="false" ht="31.5" hidden="false" customHeight="true" outlineLevel="0" collapsed="false">
      <c r="A4" s="13" t="s">
        <v>97</v>
      </c>
      <c r="B4" s="13" t="s">
        <v>98</v>
      </c>
      <c r="C4" s="13" t="s">
        <v>99</v>
      </c>
      <c r="D4" s="13" t="s">
        <v>100</v>
      </c>
      <c r="E4" s="13" t="s">
        <v>101</v>
      </c>
      <c r="F4" s="13" t="s">
        <v>61</v>
      </c>
    </row>
    <row r="5" customFormat="false" ht="15" hidden="false" customHeight="false" outlineLevel="0" collapsed="false">
      <c r="A5" s="14" t="s">
        <v>102</v>
      </c>
      <c r="B5" s="15" t="s">
        <v>93</v>
      </c>
      <c r="C5" s="14" t="s">
        <v>103</v>
      </c>
      <c r="D5" s="21" t="n">
        <v>18000</v>
      </c>
      <c r="E5" s="21" t="n">
        <v>12000</v>
      </c>
      <c r="F5" s="14" t="s">
        <v>94</v>
      </c>
    </row>
    <row r="6" customFormat="false" ht="15" hidden="false" customHeight="false" outlineLevel="0" collapsed="false">
      <c r="A6" s="17"/>
      <c r="B6" s="18"/>
      <c r="C6" s="17"/>
      <c r="D6" s="22"/>
      <c r="E6" s="22"/>
      <c r="F6" s="17"/>
    </row>
    <row r="7" customFormat="false" ht="15" hidden="false" customHeight="false" outlineLevel="0" collapsed="false">
      <c r="A7" s="17"/>
      <c r="B7" s="18"/>
      <c r="C7" s="17"/>
      <c r="D7" s="22"/>
      <c r="E7" s="22"/>
      <c r="F7" s="17"/>
    </row>
    <row r="8" customFormat="false" ht="15" hidden="false" customHeight="false" outlineLevel="0" collapsed="false">
      <c r="A8" s="17"/>
      <c r="B8" s="18"/>
      <c r="C8" s="17"/>
      <c r="D8" s="22"/>
      <c r="E8" s="22"/>
      <c r="F8" s="17"/>
    </row>
    <row r="9" customFormat="false" ht="15" hidden="false" customHeight="false" outlineLevel="0" collapsed="false">
      <c r="A9" s="17"/>
      <c r="B9" s="18"/>
      <c r="C9" s="17"/>
      <c r="D9" s="22"/>
      <c r="E9" s="22"/>
      <c r="F9" s="17"/>
    </row>
    <row r="10" customFormat="false" ht="15" hidden="false" customHeight="false" outlineLevel="0" collapsed="false">
      <c r="A10" s="17"/>
      <c r="B10" s="18"/>
      <c r="C10" s="17"/>
      <c r="D10" s="22"/>
      <c r="E10" s="22"/>
      <c r="F10" s="17"/>
    </row>
    <row r="11" customFormat="false" ht="15" hidden="false" customHeight="false" outlineLevel="0" collapsed="false">
      <c r="A11" s="17"/>
      <c r="B11" s="18"/>
      <c r="C11" s="17"/>
      <c r="D11" s="22"/>
      <c r="E11" s="22"/>
      <c r="F11" s="17"/>
    </row>
    <row r="12" customFormat="false" ht="15" hidden="false" customHeight="false" outlineLevel="0" collapsed="false">
      <c r="A12" s="17"/>
      <c r="B12" s="18"/>
      <c r="C12" s="17"/>
      <c r="D12" s="22"/>
      <c r="E12" s="22"/>
      <c r="F12" s="17"/>
    </row>
    <row r="13" customFormat="false" ht="15" hidden="false" customHeight="false" outlineLevel="0" collapsed="false">
      <c r="A13" s="17"/>
      <c r="B13" s="18"/>
      <c r="C13" s="17"/>
      <c r="D13" s="22"/>
      <c r="E13" s="22"/>
      <c r="F13" s="17"/>
    </row>
    <row r="14" customFormat="false" ht="15" hidden="false" customHeight="false" outlineLevel="0" collapsed="false">
      <c r="A14" s="17"/>
      <c r="B14" s="18"/>
      <c r="C14" s="17"/>
      <c r="D14" s="22"/>
      <c r="E14" s="22"/>
      <c r="F14" s="17"/>
    </row>
    <row r="15" customFormat="false" ht="15" hidden="false" customHeight="false" outlineLevel="0" collapsed="false">
      <c r="A15" s="17"/>
      <c r="B15" s="18"/>
      <c r="C15" s="17"/>
      <c r="D15" s="22"/>
      <c r="E15" s="22"/>
      <c r="F15" s="17"/>
    </row>
    <row r="16" customFormat="false" ht="15" hidden="false" customHeight="false" outlineLevel="0" collapsed="false">
      <c r="A16" s="17"/>
      <c r="B16" s="18"/>
      <c r="C16" s="17"/>
      <c r="D16" s="22"/>
      <c r="E16" s="22"/>
      <c r="F16" s="17"/>
    </row>
    <row r="17" customFormat="false" ht="15" hidden="false" customHeight="false" outlineLevel="0" collapsed="false">
      <c r="A17" s="17"/>
      <c r="B17" s="18"/>
      <c r="C17" s="17"/>
      <c r="D17" s="22"/>
      <c r="E17" s="22"/>
      <c r="F17" s="17"/>
    </row>
    <row r="18" customFormat="false" ht="15" hidden="false" customHeight="false" outlineLevel="0" collapsed="false">
      <c r="A18" s="17"/>
      <c r="B18" s="18"/>
      <c r="C18" s="17"/>
      <c r="D18" s="22"/>
      <c r="E18" s="22"/>
      <c r="F18" s="17"/>
    </row>
    <row r="19" customFormat="false" ht="15" hidden="false" customHeight="false" outlineLevel="0" collapsed="false">
      <c r="A19" s="17"/>
      <c r="B19" s="18"/>
      <c r="C19" s="17"/>
      <c r="D19" s="22"/>
      <c r="E19" s="22"/>
      <c r="F19" s="17"/>
    </row>
    <row r="20" customFormat="false" ht="15" hidden="false" customHeight="false" outlineLevel="0" collapsed="false">
      <c r="A20" s="17"/>
      <c r="B20" s="18"/>
      <c r="C20" s="17"/>
      <c r="D20" s="22"/>
      <c r="E20" s="22"/>
      <c r="F20" s="17"/>
    </row>
    <row r="21" customFormat="false" ht="15" hidden="false" customHeight="false" outlineLevel="0" collapsed="false">
      <c r="A21" s="17"/>
      <c r="B21" s="18"/>
      <c r="C21" s="17"/>
      <c r="D21" s="22"/>
      <c r="E21" s="22"/>
      <c r="F21" s="17"/>
    </row>
    <row r="22" customFormat="false" ht="15" hidden="false" customHeight="false" outlineLevel="0" collapsed="false">
      <c r="A22" s="17"/>
      <c r="B22" s="18"/>
      <c r="C22" s="17"/>
      <c r="D22" s="22"/>
      <c r="E22" s="22"/>
      <c r="F22" s="17"/>
    </row>
    <row r="23" customFormat="false" ht="15" hidden="false" customHeight="false" outlineLevel="0" collapsed="false">
      <c r="A23" s="17"/>
      <c r="B23" s="18"/>
      <c r="C23" s="17"/>
      <c r="D23" s="22"/>
      <c r="E23" s="22"/>
      <c r="F23" s="17"/>
    </row>
    <row r="24" customFormat="false" ht="15" hidden="false" customHeight="false" outlineLevel="0" collapsed="false">
      <c r="A24" s="17"/>
      <c r="B24" s="18"/>
      <c r="C24" s="17"/>
      <c r="D24" s="22"/>
      <c r="E24" s="22"/>
      <c r="F24" s="17"/>
    </row>
    <row r="25" customFormat="false" ht="15" hidden="false" customHeight="false" outlineLevel="0" collapsed="false">
      <c r="A25" s="17"/>
      <c r="B25" s="18"/>
      <c r="C25" s="17"/>
      <c r="D25" s="22"/>
      <c r="E25" s="22"/>
      <c r="F25" s="17"/>
    </row>
    <row r="26" customFormat="false" ht="15" hidden="false" customHeight="false" outlineLevel="0" collapsed="false">
      <c r="A26" s="17"/>
      <c r="B26" s="18"/>
      <c r="C26" s="17"/>
      <c r="D26" s="22"/>
      <c r="E26" s="22"/>
      <c r="F26" s="17"/>
    </row>
    <row r="27" customFormat="false" ht="15" hidden="false" customHeight="false" outlineLevel="0" collapsed="false">
      <c r="A27" s="17"/>
      <c r="B27" s="18"/>
      <c r="C27" s="17"/>
      <c r="D27" s="22"/>
      <c r="E27" s="22"/>
      <c r="F27" s="17"/>
    </row>
    <row r="28" customFormat="false" ht="15" hidden="false" customHeight="false" outlineLevel="0" collapsed="false">
      <c r="A28" s="17"/>
      <c r="B28" s="18"/>
      <c r="C28" s="17"/>
      <c r="D28" s="22"/>
      <c r="E28" s="22"/>
      <c r="F28" s="17"/>
    </row>
    <row r="29" customFormat="false" ht="15" hidden="false" customHeight="false" outlineLevel="0" collapsed="false">
      <c r="A29" s="17"/>
      <c r="B29" s="18"/>
      <c r="C29" s="17"/>
      <c r="D29" s="22"/>
      <c r="E29" s="22"/>
      <c r="F29" s="17"/>
    </row>
    <row r="30" customFormat="false" ht="15" hidden="false" customHeight="false" outlineLevel="0" collapsed="false">
      <c r="A30" s="17"/>
      <c r="B30" s="18"/>
      <c r="C30" s="17"/>
      <c r="D30" s="22"/>
      <c r="E30" s="22"/>
      <c r="F30" s="17"/>
    </row>
    <row r="31" customFormat="false" ht="15" hidden="false" customHeight="false" outlineLevel="0" collapsed="false">
      <c r="A31" s="17"/>
      <c r="B31" s="18"/>
      <c r="C31" s="17"/>
      <c r="D31" s="22"/>
      <c r="E31" s="22"/>
      <c r="F31" s="17"/>
    </row>
    <row r="32" customFormat="false" ht="15" hidden="false" customHeight="false" outlineLevel="0" collapsed="false">
      <c r="A32" s="17"/>
      <c r="B32" s="18"/>
      <c r="C32" s="17"/>
      <c r="D32" s="22"/>
      <c r="E32" s="22"/>
      <c r="F32" s="17"/>
    </row>
    <row r="33" customFormat="false" ht="15" hidden="false" customHeight="false" outlineLevel="0" collapsed="false">
      <c r="A33" s="17"/>
      <c r="B33" s="18"/>
      <c r="C33" s="17"/>
      <c r="D33" s="22"/>
      <c r="E33" s="22"/>
      <c r="F33" s="17"/>
    </row>
    <row r="34" customFormat="false" ht="15" hidden="false" customHeight="false" outlineLevel="0" collapsed="false">
      <c r="A34" s="17"/>
      <c r="B34" s="18"/>
      <c r="C34" s="17"/>
      <c r="D34" s="22"/>
      <c r="E34" s="22"/>
      <c r="F34" s="17"/>
    </row>
    <row r="35" customFormat="false" ht="15" hidden="false" customHeight="false" outlineLevel="0" collapsed="false">
      <c r="A35" s="17"/>
      <c r="B35" s="18"/>
      <c r="C35" s="17"/>
      <c r="D35" s="22"/>
      <c r="E35" s="22"/>
      <c r="F35" s="17"/>
    </row>
    <row r="36" customFormat="false" ht="15" hidden="false" customHeight="false" outlineLevel="0" collapsed="false">
      <c r="A36" s="17"/>
      <c r="B36" s="18"/>
      <c r="C36" s="17"/>
      <c r="D36" s="22"/>
      <c r="E36" s="22"/>
      <c r="F36" s="17"/>
    </row>
    <row r="37" customFormat="false" ht="15" hidden="false" customHeight="false" outlineLevel="0" collapsed="false">
      <c r="A37" s="17"/>
      <c r="B37" s="18"/>
      <c r="C37" s="17"/>
      <c r="D37" s="22"/>
      <c r="E37" s="22"/>
      <c r="F37" s="17"/>
    </row>
    <row r="38" customFormat="false" ht="15" hidden="false" customHeight="false" outlineLevel="0" collapsed="false">
      <c r="A38" s="17"/>
      <c r="B38" s="18"/>
      <c r="C38" s="17"/>
      <c r="D38" s="22"/>
      <c r="E38" s="22"/>
      <c r="F38" s="17"/>
    </row>
    <row r="39" customFormat="false" ht="15" hidden="false" customHeight="false" outlineLevel="0" collapsed="false">
      <c r="A39" s="17"/>
      <c r="B39" s="18"/>
      <c r="C39" s="17"/>
      <c r="D39" s="22"/>
      <c r="E39" s="22"/>
      <c r="F39" s="17"/>
    </row>
    <row r="40" customFormat="false" ht="15" hidden="false" customHeight="false" outlineLevel="0" collapsed="false">
      <c r="A40" s="17"/>
      <c r="B40" s="18"/>
      <c r="C40" s="17"/>
      <c r="D40" s="22"/>
      <c r="E40" s="22"/>
      <c r="F40" s="17"/>
    </row>
    <row r="41" customFormat="false" ht="15" hidden="false" customHeight="false" outlineLevel="0" collapsed="false">
      <c r="A41" s="17"/>
      <c r="B41" s="18"/>
      <c r="C41" s="17"/>
      <c r="D41" s="22"/>
      <c r="E41" s="22"/>
      <c r="F41" s="17"/>
    </row>
    <row r="42" customFormat="false" ht="15" hidden="false" customHeight="false" outlineLevel="0" collapsed="false">
      <c r="A42" s="17"/>
      <c r="B42" s="18"/>
      <c r="C42" s="17"/>
      <c r="D42" s="22"/>
      <c r="E42" s="22"/>
      <c r="F42" s="17"/>
    </row>
    <row r="43" customFormat="false" ht="15" hidden="false" customHeight="false" outlineLevel="0" collapsed="false">
      <c r="A43" s="17"/>
      <c r="B43" s="18"/>
      <c r="C43" s="17"/>
      <c r="D43" s="22"/>
      <c r="E43" s="22"/>
      <c r="F43" s="17"/>
    </row>
    <row r="44" customFormat="false" ht="15" hidden="false" customHeight="false" outlineLevel="0" collapsed="false">
      <c r="A44" s="17"/>
      <c r="B44" s="18"/>
      <c r="C44" s="17"/>
      <c r="D44" s="22"/>
      <c r="E44" s="22"/>
      <c r="F44" s="17"/>
    </row>
    <row r="45" customFormat="false" ht="15" hidden="false" customHeight="false" outlineLevel="0" collapsed="false">
      <c r="A45" s="17"/>
      <c r="B45" s="18"/>
      <c r="C45" s="17"/>
      <c r="D45" s="22"/>
      <c r="E45" s="22"/>
      <c r="F45" s="17"/>
    </row>
    <row r="46" customFormat="false" ht="15" hidden="false" customHeight="false" outlineLevel="0" collapsed="false">
      <c r="A46" s="17"/>
      <c r="B46" s="18"/>
      <c r="C46" s="17"/>
      <c r="D46" s="22"/>
      <c r="E46" s="22"/>
      <c r="F46" s="17"/>
    </row>
    <row r="47" customFormat="false" ht="15" hidden="false" customHeight="false" outlineLevel="0" collapsed="false">
      <c r="A47" s="17"/>
      <c r="B47" s="18"/>
      <c r="C47" s="17"/>
      <c r="D47" s="22"/>
      <c r="E47" s="22"/>
      <c r="F47" s="17"/>
    </row>
    <row r="48" customFormat="false" ht="15" hidden="false" customHeight="false" outlineLevel="0" collapsed="false">
      <c r="A48" s="17"/>
      <c r="B48" s="18"/>
      <c r="C48" s="17"/>
      <c r="D48" s="22"/>
      <c r="E48" s="22"/>
      <c r="F48" s="17"/>
    </row>
    <row r="49" customFormat="false" ht="15" hidden="false" customHeight="false" outlineLevel="0" collapsed="false">
      <c r="A49" s="17"/>
      <c r="B49" s="18"/>
      <c r="C49" s="17"/>
      <c r="D49" s="22"/>
      <c r="E49" s="22"/>
      <c r="F49" s="17"/>
    </row>
    <row r="50" customFormat="false" ht="15" hidden="false" customHeight="false" outlineLevel="0" collapsed="false">
      <c r="A50" s="17"/>
      <c r="B50" s="18"/>
      <c r="C50" s="17"/>
      <c r="D50" s="22"/>
      <c r="E50" s="22"/>
      <c r="F50" s="17"/>
    </row>
    <row r="51" customFormat="false" ht="15" hidden="false" customHeight="false" outlineLevel="0" collapsed="false">
      <c r="A51" s="17"/>
      <c r="B51" s="18"/>
      <c r="C51" s="17"/>
      <c r="D51" s="22"/>
      <c r="E51" s="22"/>
      <c r="F51" s="17"/>
    </row>
    <row r="52" customFormat="false" ht="15" hidden="false" customHeight="false" outlineLevel="0" collapsed="false">
      <c r="A52" s="17"/>
      <c r="B52" s="18"/>
      <c r="C52" s="17"/>
      <c r="D52" s="22"/>
      <c r="E52" s="22"/>
      <c r="F52" s="17"/>
    </row>
    <row r="53" customFormat="false" ht="15" hidden="false" customHeight="false" outlineLevel="0" collapsed="false">
      <c r="A53" s="17"/>
      <c r="B53" s="18"/>
      <c r="C53" s="17"/>
      <c r="D53" s="22"/>
      <c r="E53" s="22"/>
      <c r="F53" s="17"/>
    </row>
    <row r="54" customFormat="false" ht="15" hidden="false" customHeight="false" outlineLevel="0" collapsed="false">
      <c r="A54" s="17"/>
      <c r="B54" s="18"/>
      <c r="C54" s="17"/>
      <c r="D54" s="22"/>
      <c r="E54" s="22"/>
      <c r="F54" s="17"/>
    </row>
    <row r="55" customFormat="false" ht="15" hidden="false" customHeight="false" outlineLevel="0" collapsed="false">
      <c r="A55" s="17"/>
      <c r="B55" s="18"/>
      <c r="C55" s="17"/>
      <c r="D55" s="22"/>
      <c r="E55" s="22"/>
      <c r="F55" s="17"/>
    </row>
    <row r="56" customFormat="false" ht="15" hidden="false" customHeight="false" outlineLevel="0" collapsed="false">
      <c r="A56" s="17"/>
      <c r="B56" s="18"/>
      <c r="C56" s="17"/>
      <c r="D56" s="22"/>
      <c r="E56" s="22"/>
      <c r="F56" s="17"/>
    </row>
    <row r="57" customFormat="false" ht="15" hidden="false" customHeight="false" outlineLevel="0" collapsed="false">
      <c r="A57" s="17"/>
      <c r="B57" s="18"/>
      <c r="C57" s="17"/>
      <c r="D57" s="22"/>
      <c r="E57" s="22"/>
      <c r="F57" s="17"/>
    </row>
    <row r="58" customFormat="false" ht="15" hidden="false" customHeight="false" outlineLevel="0" collapsed="false">
      <c r="A58" s="17"/>
      <c r="B58" s="18"/>
      <c r="C58" s="17"/>
      <c r="D58" s="22"/>
      <c r="E58" s="22"/>
      <c r="F58" s="17"/>
    </row>
    <row r="59" customFormat="false" ht="15" hidden="false" customHeight="false" outlineLevel="0" collapsed="false">
      <c r="A59" s="17"/>
      <c r="B59" s="18"/>
      <c r="C59" s="17"/>
      <c r="D59" s="22"/>
      <c r="E59" s="22"/>
      <c r="F59" s="17"/>
    </row>
    <row r="60" customFormat="false" ht="15" hidden="false" customHeight="false" outlineLevel="0" collapsed="false">
      <c r="A60" s="17"/>
      <c r="B60" s="18"/>
      <c r="C60" s="17"/>
      <c r="D60" s="22"/>
      <c r="E60" s="22"/>
      <c r="F60" s="17"/>
    </row>
    <row r="61" customFormat="false" ht="15" hidden="false" customHeight="false" outlineLevel="0" collapsed="false">
      <c r="A61" s="17"/>
      <c r="B61" s="18"/>
      <c r="C61" s="17"/>
      <c r="D61" s="22"/>
      <c r="E61" s="22"/>
      <c r="F61" s="17"/>
    </row>
    <row r="62" customFormat="false" ht="15" hidden="false" customHeight="false" outlineLevel="0" collapsed="false">
      <c r="A62" s="17"/>
      <c r="B62" s="18"/>
      <c r="C62" s="17"/>
      <c r="D62" s="22"/>
      <c r="E62" s="22"/>
      <c r="F62" s="17"/>
    </row>
    <row r="63" customFormat="false" ht="15" hidden="false" customHeight="false" outlineLevel="0" collapsed="false">
      <c r="A63" s="17"/>
      <c r="B63" s="18"/>
      <c r="C63" s="17"/>
      <c r="D63" s="22"/>
      <c r="E63" s="22"/>
      <c r="F63" s="17"/>
    </row>
    <row r="64" customFormat="false" ht="15" hidden="false" customHeight="false" outlineLevel="0" collapsed="false">
      <c r="A64" s="17"/>
      <c r="B64" s="18"/>
      <c r="C64" s="17"/>
      <c r="D64" s="22"/>
      <c r="E64" s="22"/>
      <c r="F64" s="17"/>
    </row>
    <row r="65" customFormat="false" ht="15" hidden="false" customHeight="false" outlineLevel="0" collapsed="false">
      <c r="A65" s="17"/>
      <c r="B65" s="18"/>
      <c r="C65" s="17"/>
      <c r="D65" s="22"/>
      <c r="E65" s="22"/>
      <c r="F65" s="17"/>
    </row>
    <row r="66" customFormat="false" ht="15" hidden="false" customHeight="false" outlineLevel="0" collapsed="false">
      <c r="A66" s="17"/>
      <c r="B66" s="18"/>
      <c r="C66" s="17"/>
      <c r="D66" s="22"/>
      <c r="E66" s="22"/>
      <c r="F66" s="17"/>
    </row>
    <row r="67" customFormat="false" ht="15" hidden="false" customHeight="false" outlineLevel="0" collapsed="false">
      <c r="A67" s="17"/>
      <c r="B67" s="18"/>
      <c r="C67" s="17"/>
      <c r="D67" s="22"/>
      <c r="E67" s="22"/>
      <c r="F67" s="17"/>
    </row>
    <row r="68" customFormat="false" ht="15" hidden="false" customHeight="false" outlineLevel="0" collapsed="false">
      <c r="A68" s="17"/>
      <c r="B68" s="18"/>
      <c r="C68" s="17"/>
      <c r="D68" s="22"/>
      <c r="E68" s="22"/>
      <c r="F68" s="17"/>
    </row>
    <row r="69" customFormat="false" ht="15" hidden="false" customHeight="false" outlineLevel="0" collapsed="false">
      <c r="A69" s="17"/>
      <c r="B69" s="18"/>
      <c r="C69" s="17"/>
      <c r="D69" s="22"/>
      <c r="E69" s="22"/>
      <c r="F69" s="17"/>
    </row>
    <row r="70" customFormat="false" ht="15" hidden="false" customHeight="false" outlineLevel="0" collapsed="false">
      <c r="A70" s="17"/>
      <c r="B70" s="18"/>
      <c r="C70" s="17"/>
      <c r="D70" s="22"/>
      <c r="E70" s="22"/>
      <c r="F70" s="17"/>
    </row>
    <row r="71" customFormat="false" ht="15" hidden="false" customHeight="false" outlineLevel="0" collapsed="false">
      <c r="A71" s="17"/>
      <c r="B71" s="18"/>
      <c r="C71" s="17"/>
      <c r="D71" s="22"/>
      <c r="E71" s="22"/>
      <c r="F71" s="17"/>
    </row>
    <row r="72" customFormat="false" ht="15" hidden="false" customHeight="false" outlineLevel="0" collapsed="false">
      <c r="A72" s="17"/>
      <c r="B72" s="18"/>
      <c r="C72" s="17"/>
      <c r="D72" s="22"/>
      <c r="E72" s="22"/>
      <c r="F72" s="17"/>
    </row>
    <row r="73" customFormat="false" ht="15" hidden="false" customHeight="false" outlineLevel="0" collapsed="false">
      <c r="A73" s="17"/>
      <c r="B73" s="18"/>
      <c r="C73" s="17"/>
      <c r="D73" s="22"/>
      <c r="E73" s="22"/>
      <c r="F73" s="17"/>
    </row>
    <row r="74" customFormat="false" ht="15" hidden="false" customHeight="false" outlineLevel="0" collapsed="false">
      <c r="A74" s="17"/>
      <c r="B74" s="18"/>
      <c r="C74" s="17"/>
      <c r="D74" s="22"/>
      <c r="E74" s="22"/>
      <c r="F74" s="17"/>
    </row>
    <row r="75" customFormat="false" ht="15" hidden="false" customHeight="false" outlineLevel="0" collapsed="false">
      <c r="A75" s="17"/>
      <c r="B75" s="18"/>
      <c r="C75" s="17"/>
      <c r="D75" s="22"/>
      <c r="E75" s="22"/>
      <c r="F75" s="17"/>
    </row>
    <row r="76" customFormat="false" ht="15" hidden="false" customHeight="false" outlineLevel="0" collapsed="false">
      <c r="A76" s="17"/>
      <c r="B76" s="18"/>
      <c r="C76" s="17"/>
      <c r="D76" s="22"/>
      <c r="E76" s="22"/>
      <c r="F76" s="17"/>
    </row>
    <row r="77" customFormat="false" ht="15" hidden="false" customHeight="false" outlineLevel="0" collapsed="false">
      <c r="A77" s="17"/>
      <c r="B77" s="18"/>
      <c r="C77" s="17"/>
      <c r="D77" s="22"/>
      <c r="E77" s="22"/>
      <c r="F77" s="17"/>
    </row>
    <row r="78" customFormat="false" ht="15" hidden="false" customHeight="false" outlineLevel="0" collapsed="false">
      <c r="A78" s="17"/>
      <c r="B78" s="18"/>
      <c r="C78" s="17"/>
      <c r="D78" s="22"/>
      <c r="E78" s="22"/>
      <c r="F78" s="17"/>
    </row>
    <row r="79" customFormat="false" ht="15" hidden="false" customHeight="false" outlineLevel="0" collapsed="false">
      <c r="A79" s="17"/>
      <c r="B79" s="18"/>
      <c r="C79" s="17"/>
      <c r="D79" s="22"/>
      <c r="E79" s="22"/>
      <c r="F79" s="17"/>
    </row>
    <row r="80" customFormat="false" ht="15" hidden="false" customHeight="false" outlineLevel="0" collapsed="false">
      <c r="A80" s="17"/>
      <c r="B80" s="18"/>
      <c r="C80" s="17"/>
      <c r="D80" s="22"/>
      <c r="E80" s="22"/>
      <c r="F80" s="17"/>
    </row>
    <row r="81" customFormat="false" ht="15" hidden="false" customHeight="false" outlineLevel="0" collapsed="false">
      <c r="A81" s="17"/>
      <c r="B81" s="18"/>
      <c r="C81" s="17"/>
      <c r="D81" s="22"/>
      <c r="E81" s="22"/>
      <c r="F81" s="17"/>
    </row>
    <row r="82" customFormat="false" ht="15" hidden="false" customHeight="false" outlineLevel="0" collapsed="false">
      <c r="A82" s="17"/>
      <c r="B82" s="18"/>
      <c r="C82" s="17"/>
      <c r="D82" s="22"/>
      <c r="E82" s="22"/>
      <c r="F82" s="17"/>
    </row>
    <row r="83" customFormat="false" ht="15" hidden="false" customHeight="false" outlineLevel="0" collapsed="false">
      <c r="A83" s="17"/>
      <c r="B83" s="18"/>
      <c r="C83" s="17"/>
      <c r="D83" s="22"/>
      <c r="E83" s="22"/>
      <c r="F83" s="17"/>
    </row>
    <row r="84" customFormat="false" ht="15" hidden="false" customHeight="false" outlineLevel="0" collapsed="false">
      <c r="A84" s="17"/>
      <c r="B84" s="18"/>
      <c r="C84" s="17"/>
      <c r="D84" s="22"/>
      <c r="E84" s="22"/>
      <c r="F84" s="17"/>
    </row>
    <row r="85" customFormat="false" ht="15" hidden="false" customHeight="false" outlineLevel="0" collapsed="false">
      <c r="A85" s="17"/>
      <c r="B85" s="18"/>
      <c r="C85" s="17"/>
      <c r="D85" s="22"/>
      <c r="E85" s="22"/>
      <c r="F85" s="17"/>
    </row>
    <row r="86" customFormat="false" ht="15" hidden="false" customHeight="false" outlineLevel="0" collapsed="false">
      <c r="A86" s="17"/>
      <c r="B86" s="18"/>
      <c r="C86" s="17"/>
      <c r="D86" s="22"/>
      <c r="E86" s="22"/>
      <c r="F86" s="17"/>
    </row>
    <row r="87" customFormat="false" ht="15" hidden="false" customHeight="false" outlineLevel="0" collapsed="false">
      <c r="A87" s="17"/>
      <c r="B87" s="18"/>
      <c r="C87" s="17"/>
      <c r="D87" s="22"/>
      <c r="E87" s="22"/>
      <c r="F87" s="17"/>
    </row>
    <row r="88" customFormat="false" ht="15" hidden="false" customHeight="false" outlineLevel="0" collapsed="false">
      <c r="A88" s="17"/>
      <c r="B88" s="18"/>
      <c r="C88" s="17"/>
      <c r="D88" s="22"/>
      <c r="E88" s="22"/>
      <c r="F88" s="17"/>
    </row>
    <row r="89" customFormat="false" ht="15" hidden="false" customHeight="false" outlineLevel="0" collapsed="false">
      <c r="A89" s="17"/>
      <c r="B89" s="18"/>
      <c r="C89" s="17"/>
      <c r="D89" s="22"/>
      <c r="E89" s="22"/>
      <c r="F89" s="17"/>
    </row>
    <row r="90" customFormat="false" ht="15" hidden="false" customHeight="false" outlineLevel="0" collapsed="false">
      <c r="A90" s="17"/>
      <c r="B90" s="18"/>
      <c r="C90" s="17"/>
      <c r="D90" s="22"/>
      <c r="E90" s="22"/>
      <c r="F90" s="17"/>
    </row>
    <row r="91" customFormat="false" ht="15" hidden="false" customHeight="false" outlineLevel="0" collapsed="false">
      <c r="A91" s="17"/>
      <c r="B91" s="18"/>
      <c r="C91" s="17"/>
      <c r="D91" s="22"/>
      <c r="E91" s="22"/>
      <c r="F91" s="17"/>
    </row>
    <row r="92" customFormat="false" ht="15" hidden="false" customHeight="false" outlineLevel="0" collapsed="false">
      <c r="A92" s="17"/>
      <c r="B92" s="18"/>
      <c r="C92" s="17"/>
      <c r="D92" s="22"/>
      <c r="E92" s="22"/>
      <c r="F92" s="17"/>
    </row>
    <row r="93" customFormat="false" ht="15" hidden="false" customHeight="false" outlineLevel="0" collapsed="false">
      <c r="A93" s="17"/>
      <c r="B93" s="18"/>
      <c r="C93" s="17"/>
      <c r="D93" s="22"/>
      <c r="E93" s="22"/>
      <c r="F93" s="17"/>
    </row>
    <row r="94" customFormat="false" ht="15" hidden="false" customHeight="false" outlineLevel="0" collapsed="false">
      <c r="A94" s="17"/>
      <c r="B94" s="18"/>
      <c r="C94" s="17"/>
      <c r="D94" s="22"/>
      <c r="E94" s="22"/>
      <c r="F94" s="17"/>
    </row>
    <row r="95" customFormat="false" ht="15" hidden="false" customHeight="false" outlineLevel="0" collapsed="false">
      <c r="A95" s="17"/>
      <c r="B95" s="18"/>
      <c r="C95" s="17"/>
      <c r="D95" s="22"/>
      <c r="E95" s="22"/>
      <c r="F95" s="17"/>
    </row>
    <row r="96" customFormat="false" ht="15" hidden="false" customHeight="false" outlineLevel="0" collapsed="false">
      <c r="A96" s="17"/>
      <c r="B96" s="18"/>
      <c r="C96" s="17"/>
      <c r="D96" s="22"/>
      <c r="E96" s="22"/>
      <c r="F96" s="17"/>
    </row>
    <row r="97" customFormat="false" ht="15" hidden="false" customHeight="false" outlineLevel="0" collapsed="false">
      <c r="A97" s="17"/>
      <c r="B97" s="18"/>
      <c r="C97" s="17"/>
      <c r="D97" s="22"/>
      <c r="E97" s="22"/>
      <c r="F97" s="17"/>
    </row>
    <row r="98" customFormat="false" ht="15" hidden="false" customHeight="false" outlineLevel="0" collapsed="false">
      <c r="A98" s="17"/>
      <c r="B98" s="18"/>
      <c r="C98" s="17"/>
      <c r="D98" s="22"/>
      <c r="E98" s="22"/>
      <c r="F98" s="17"/>
    </row>
    <row r="99" customFormat="false" ht="15" hidden="false" customHeight="false" outlineLevel="0" collapsed="false">
      <c r="A99" s="17"/>
      <c r="B99" s="18"/>
      <c r="C99" s="17"/>
      <c r="D99" s="22"/>
      <c r="E99" s="22"/>
      <c r="F99" s="17"/>
    </row>
    <row r="100" customFormat="false" ht="15" hidden="false" customHeight="false" outlineLevel="0" collapsed="false">
      <c r="A100" s="17"/>
      <c r="B100" s="18"/>
      <c r="C100" s="17"/>
      <c r="D100" s="22"/>
      <c r="E100" s="22"/>
      <c r="F100" s="17"/>
    </row>
    <row r="101" customFormat="false" ht="15" hidden="false" customHeight="false" outlineLevel="0" collapsed="false">
      <c r="A101" s="17"/>
      <c r="B101" s="18"/>
      <c r="C101" s="17"/>
      <c r="D101" s="22"/>
      <c r="E101" s="22"/>
      <c r="F101" s="17"/>
    </row>
    <row r="102" customFormat="false" ht="15" hidden="false" customHeight="false" outlineLevel="0" collapsed="false">
      <c r="A102" s="17"/>
      <c r="B102" s="18"/>
      <c r="C102" s="17"/>
      <c r="D102" s="22"/>
      <c r="E102" s="22"/>
      <c r="F102" s="17"/>
    </row>
    <row r="103" customFormat="false" ht="15" hidden="false" customHeight="false" outlineLevel="0" collapsed="false">
      <c r="A103" s="17"/>
      <c r="B103" s="18"/>
      <c r="C103" s="17"/>
      <c r="D103" s="22"/>
      <c r="E103" s="22"/>
      <c r="F103" s="17"/>
    </row>
    <row r="104" customFormat="false" ht="15" hidden="false" customHeight="false" outlineLevel="0" collapsed="false">
      <c r="A104" s="17"/>
      <c r="B104" s="18"/>
      <c r="C104" s="17"/>
      <c r="D104" s="22"/>
      <c r="E104" s="22"/>
      <c r="F104" s="17"/>
    </row>
    <row r="105" customFormat="false" ht="15" hidden="false" customHeight="false" outlineLevel="0" collapsed="false">
      <c r="A105" s="17"/>
      <c r="B105" s="18"/>
      <c r="C105" s="17"/>
      <c r="D105" s="22"/>
      <c r="E105" s="22"/>
      <c r="F105" s="17"/>
    </row>
    <row r="106" customFormat="false" ht="15" hidden="false" customHeight="false" outlineLevel="0" collapsed="false">
      <c r="A106" s="17"/>
      <c r="B106" s="18"/>
      <c r="C106" s="17"/>
      <c r="D106" s="22"/>
      <c r="E106" s="22"/>
      <c r="F106" s="17"/>
    </row>
    <row r="107" customFormat="false" ht="15" hidden="false" customHeight="false" outlineLevel="0" collapsed="false">
      <c r="A107" s="17"/>
      <c r="B107" s="18"/>
      <c r="C107" s="17"/>
      <c r="D107" s="22"/>
      <c r="E107" s="22"/>
      <c r="F107" s="17"/>
    </row>
    <row r="108" customFormat="false" ht="15" hidden="false" customHeight="false" outlineLevel="0" collapsed="false">
      <c r="A108" s="17"/>
      <c r="B108" s="18"/>
      <c r="C108" s="17"/>
      <c r="D108" s="22"/>
      <c r="E108" s="22"/>
      <c r="F108" s="17"/>
    </row>
    <row r="109" customFormat="false" ht="15" hidden="false" customHeight="false" outlineLevel="0" collapsed="false">
      <c r="A109" s="17"/>
      <c r="B109" s="18"/>
      <c r="C109" s="17"/>
      <c r="D109" s="22"/>
      <c r="E109" s="22"/>
      <c r="F109" s="17"/>
    </row>
    <row r="110" customFormat="false" ht="15" hidden="false" customHeight="false" outlineLevel="0" collapsed="false">
      <c r="A110" s="17"/>
      <c r="B110" s="18"/>
      <c r="C110" s="17"/>
      <c r="D110" s="22"/>
      <c r="E110" s="22"/>
      <c r="F110" s="17"/>
    </row>
    <row r="111" customFormat="false" ht="15" hidden="false" customHeight="false" outlineLevel="0" collapsed="false">
      <c r="A111" s="17"/>
      <c r="B111" s="18"/>
      <c r="C111" s="17"/>
      <c r="D111" s="22"/>
      <c r="E111" s="22"/>
      <c r="F111" s="17"/>
    </row>
    <row r="112" customFormat="false" ht="15" hidden="false" customHeight="false" outlineLevel="0" collapsed="false">
      <c r="A112" s="17"/>
      <c r="B112" s="18"/>
      <c r="C112" s="17"/>
      <c r="D112" s="22"/>
      <c r="E112" s="22"/>
      <c r="F112" s="17"/>
    </row>
    <row r="113" customFormat="false" ht="15" hidden="false" customHeight="false" outlineLevel="0" collapsed="false">
      <c r="A113" s="17"/>
      <c r="B113" s="18"/>
      <c r="C113" s="17"/>
      <c r="D113" s="22"/>
      <c r="E113" s="22"/>
      <c r="F113" s="17"/>
    </row>
    <row r="114" customFormat="false" ht="15" hidden="false" customHeight="false" outlineLevel="0" collapsed="false">
      <c r="A114" s="17"/>
      <c r="B114" s="18"/>
      <c r="C114" s="17"/>
      <c r="D114" s="22"/>
      <c r="E114" s="22"/>
      <c r="F114" s="17"/>
    </row>
    <row r="115" customFormat="false" ht="15" hidden="false" customHeight="false" outlineLevel="0" collapsed="false">
      <c r="A115" s="17"/>
      <c r="B115" s="18"/>
      <c r="C115" s="17"/>
      <c r="D115" s="22"/>
      <c r="E115" s="22"/>
      <c r="F115" s="17"/>
    </row>
    <row r="116" customFormat="false" ht="15" hidden="false" customHeight="false" outlineLevel="0" collapsed="false">
      <c r="A116" s="17"/>
      <c r="B116" s="18"/>
      <c r="C116" s="17"/>
      <c r="D116" s="22"/>
      <c r="E116" s="22"/>
      <c r="F116" s="17"/>
    </row>
    <row r="117" customFormat="false" ht="15" hidden="false" customHeight="false" outlineLevel="0" collapsed="false">
      <c r="A117" s="17"/>
      <c r="B117" s="18"/>
      <c r="C117" s="17"/>
      <c r="D117" s="22"/>
      <c r="E117" s="22"/>
      <c r="F117" s="17"/>
    </row>
    <row r="118" customFormat="false" ht="15" hidden="false" customHeight="false" outlineLevel="0" collapsed="false">
      <c r="A118" s="17"/>
      <c r="B118" s="18"/>
      <c r="C118" s="17"/>
      <c r="D118" s="22"/>
      <c r="E118" s="22"/>
      <c r="F118" s="17"/>
    </row>
    <row r="119" customFormat="false" ht="15" hidden="false" customHeight="false" outlineLevel="0" collapsed="false">
      <c r="A119" s="17"/>
      <c r="B119" s="18"/>
      <c r="C119" s="17"/>
      <c r="D119" s="22"/>
      <c r="E119" s="22"/>
      <c r="F119" s="17"/>
    </row>
    <row r="120" customFormat="false" ht="15" hidden="false" customHeight="false" outlineLevel="0" collapsed="false">
      <c r="A120" s="17"/>
      <c r="B120" s="18"/>
      <c r="C120" s="17"/>
      <c r="D120" s="22"/>
      <c r="E120" s="22"/>
      <c r="F120" s="17"/>
    </row>
    <row r="121" customFormat="false" ht="15" hidden="false" customHeight="false" outlineLevel="0" collapsed="false">
      <c r="A121" s="17"/>
      <c r="B121" s="18"/>
      <c r="C121" s="17"/>
      <c r="D121" s="22"/>
      <c r="E121" s="22"/>
      <c r="F121" s="17"/>
    </row>
    <row r="122" customFormat="false" ht="15" hidden="false" customHeight="false" outlineLevel="0" collapsed="false">
      <c r="A122" s="17"/>
      <c r="B122" s="18"/>
      <c r="C122" s="17"/>
      <c r="D122" s="22"/>
      <c r="E122" s="22"/>
      <c r="F122" s="17"/>
    </row>
    <row r="123" customFormat="false" ht="15" hidden="false" customHeight="false" outlineLevel="0" collapsed="false">
      <c r="A123" s="17"/>
      <c r="B123" s="18"/>
      <c r="C123" s="17"/>
      <c r="D123" s="22"/>
      <c r="E123" s="22"/>
      <c r="F123" s="17"/>
    </row>
    <row r="124" customFormat="false" ht="15" hidden="false" customHeight="false" outlineLevel="0" collapsed="false">
      <c r="A124" s="17"/>
      <c r="B124" s="18"/>
      <c r="C124" s="17"/>
      <c r="D124" s="22"/>
      <c r="E124" s="22"/>
      <c r="F124" s="17"/>
    </row>
    <row r="125" customFormat="false" ht="15" hidden="false" customHeight="false" outlineLevel="0" collapsed="false">
      <c r="A125" s="17"/>
      <c r="B125" s="18"/>
      <c r="C125" s="17"/>
      <c r="D125" s="22"/>
      <c r="E125" s="22"/>
      <c r="F125" s="17"/>
    </row>
    <row r="126" customFormat="false" ht="15" hidden="false" customHeight="false" outlineLevel="0" collapsed="false">
      <c r="A126" s="17"/>
      <c r="B126" s="18"/>
      <c r="C126" s="17"/>
      <c r="D126" s="22"/>
      <c r="E126" s="22"/>
      <c r="F126" s="17"/>
    </row>
    <row r="127" customFormat="false" ht="15" hidden="false" customHeight="false" outlineLevel="0" collapsed="false">
      <c r="A127" s="17"/>
      <c r="B127" s="18"/>
      <c r="C127" s="17"/>
      <c r="D127" s="22"/>
      <c r="E127" s="22"/>
      <c r="F127" s="17"/>
    </row>
    <row r="128" customFormat="false" ht="15" hidden="false" customHeight="false" outlineLevel="0" collapsed="false">
      <c r="A128" s="17"/>
      <c r="B128" s="18"/>
      <c r="C128" s="17"/>
      <c r="D128" s="22"/>
      <c r="E128" s="22"/>
      <c r="F128" s="17"/>
    </row>
    <row r="129" customFormat="false" ht="15" hidden="false" customHeight="false" outlineLevel="0" collapsed="false">
      <c r="A129" s="17"/>
      <c r="B129" s="18"/>
      <c r="C129" s="17"/>
      <c r="D129" s="22"/>
      <c r="E129" s="22"/>
      <c r="F129" s="17"/>
    </row>
    <row r="130" customFormat="false" ht="15" hidden="false" customHeight="false" outlineLevel="0" collapsed="false">
      <c r="A130" s="17"/>
      <c r="B130" s="18"/>
      <c r="C130" s="17"/>
      <c r="D130" s="22"/>
      <c r="E130" s="22"/>
      <c r="F130" s="17"/>
    </row>
    <row r="131" customFormat="false" ht="15" hidden="false" customHeight="false" outlineLevel="0" collapsed="false">
      <c r="A131" s="17"/>
      <c r="B131" s="18"/>
      <c r="C131" s="17"/>
      <c r="D131" s="22"/>
      <c r="E131" s="22"/>
      <c r="F131" s="17"/>
    </row>
    <row r="132" customFormat="false" ht="15" hidden="false" customHeight="false" outlineLevel="0" collapsed="false">
      <c r="A132" s="17"/>
      <c r="B132" s="18"/>
      <c r="C132" s="17"/>
      <c r="D132" s="22"/>
      <c r="E132" s="22"/>
      <c r="F132" s="17"/>
    </row>
    <row r="133" customFormat="false" ht="15" hidden="false" customHeight="false" outlineLevel="0" collapsed="false">
      <c r="A133" s="17"/>
      <c r="B133" s="18"/>
      <c r="C133" s="17"/>
      <c r="D133" s="22"/>
      <c r="E133" s="22"/>
      <c r="F133" s="17"/>
    </row>
    <row r="134" customFormat="false" ht="15" hidden="false" customHeight="false" outlineLevel="0" collapsed="false">
      <c r="A134" s="17"/>
      <c r="B134" s="18"/>
      <c r="C134" s="17"/>
      <c r="D134" s="22"/>
      <c r="E134" s="22"/>
      <c r="F134" s="17"/>
    </row>
    <row r="135" customFormat="false" ht="15" hidden="false" customHeight="false" outlineLevel="0" collapsed="false">
      <c r="A135" s="17"/>
      <c r="B135" s="18"/>
      <c r="C135" s="17"/>
      <c r="D135" s="22"/>
      <c r="E135" s="22"/>
      <c r="F135" s="17"/>
    </row>
    <row r="136" customFormat="false" ht="15" hidden="false" customHeight="false" outlineLevel="0" collapsed="false">
      <c r="A136" s="17"/>
      <c r="B136" s="18"/>
      <c r="C136" s="17"/>
      <c r="D136" s="22"/>
      <c r="E136" s="22"/>
      <c r="F136" s="17"/>
    </row>
    <row r="137" customFormat="false" ht="15" hidden="false" customHeight="false" outlineLevel="0" collapsed="false">
      <c r="A137" s="17"/>
      <c r="B137" s="18"/>
      <c r="C137" s="17"/>
      <c r="D137" s="22"/>
      <c r="E137" s="22"/>
      <c r="F137" s="17"/>
    </row>
    <row r="138" customFormat="false" ht="15" hidden="false" customHeight="false" outlineLevel="0" collapsed="false">
      <c r="A138" s="17"/>
      <c r="B138" s="18"/>
      <c r="C138" s="17"/>
      <c r="D138" s="22"/>
      <c r="E138" s="22"/>
      <c r="F138" s="17"/>
    </row>
    <row r="139" customFormat="false" ht="15" hidden="false" customHeight="false" outlineLevel="0" collapsed="false">
      <c r="A139" s="17"/>
      <c r="B139" s="18"/>
      <c r="C139" s="17"/>
      <c r="D139" s="22"/>
      <c r="E139" s="22"/>
      <c r="F139" s="17"/>
    </row>
    <row r="140" customFormat="false" ht="15" hidden="false" customHeight="false" outlineLevel="0" collapsed="false">
      <c r="A140" s="17"/>
      <c r="B140" s="18"/>
      <c r="C140" s="17"/>
      <c r="D140" s="22"/>
      <c r="E140" s="22"/>
      <c r="F140" s="17"/>
    </row>
    <row r="141" customFormat="false" ht="15" hidden="false" customHeight="false" outlineLevel="0" collapsed="false">
      <c r="A141" s="17"/>
      <c r="B141" s="18"/>
      <c r="C141" s="17"/>
      <c r="D141" s="22"/>
      <c r="E141" s="22"/>
      <c r="F141" s="17"/>
    </row>
    <row r="142" customFormat="false" ht="15" hidden="false" customHeight="false" outlineLevel="0" collapsed="false">
      <c r="A142" s="17"/>
      <c r="B142" s="18"/>
      <c r="C142" s="17"/>
      <c r="D142" s="22"/>
      <c r="E142" s="22"/>
      <c r="F142" s="17"/>
    </row>
    <row r="143" customFormat="false" ht="15" hidden="false" customHeight="false" outlineLevel="0" collapsed="false">
      <c r="A143" s="17"/>
      <c r="B143" s="18"/>
      <c r="C143" s="17"/>
      <c r="D143" s="22"/>
      <c r="E143" s="22"/>
      <c r="F143" s="17"/>
    </row>
    <row r="144" customFormat="false" ht="15" hidden="false" customHeight="false" outlineLevel="0" collapsed="false">
      <c r="A144" s="17"/>
      <c r="B144" s="18"/>
      <c r="C144" s="17"/>
      <c r="D144" s="22"/>
      <c r="E144" s="22"/>
      <c r="F144" s="17"/>
    </row>
    <row r="145" customFormat="false" ht="15" hidden="false" customHeight="false" outlineLevel="0" collapsed="false">
      <c r="A145" s="17"/>
      <c r="B145" s="18"/>
      <c r="C145" s="17"/>
      <c r="D145" s="22"/>
      <c r="E145" s="22"/>
      <c r="F145" s="17"/>
    </row>
    <row r="146" customFormat="false" ht="15" hidden="false" customHeight="false" outlineLevel="0" collapsed="false">
      <c r="A146" s="17"/>
      <c r="B146" s="18"/>
      <c r="C146" s="17"/>
      <c r="D146" s="22"/>
      <c r="E146" s="22"/>
      <c r="F146" s="17"/>
    </row>
    <row r="147" customFormat="false" ht="15" hidden="false" customHeight="false" outlineLevel="0" collapsed="false">
      <c r="A147" s="17"/>
      <c r="B147" s="18"/>
      <c r="C147" s="17"/>
      <c r="D147" s="22"/>
      <c r="E147" s="22"/>
      <c r="F147" s="17"/>
    </row>
    <row r="148" customFormat="false" ht="15" hidden="false" customHeight="false" outlineLevel="0" collapsed="false">
      <c r="A148" s="17"/>
      <c r="B148" s="18"/>
      <c r="C148" s="17"/>
      <c r="D148" s="22"/>
      <c r="E148" s="22"/>
      <c r="F148" s="17"/>
    </row>
    <row r="149" customFormat="false" ht="15" hidden="false" customHeight="false" outlineLevel="0" collapsed="false">
      <c r="A149" s="17"/>
      <c r="B149" s="18"/>
      <c r="C149" s="17"/>
      <c r="D149" s="22"/>
      <c r="E149" s="22"/>
      <c r="F149" s="17"/>
    </row>
    <row r="150" customFormat="false" ht="15" hidden="false" customHeight="false" outlineLevel="0" collapsed="false">
      <c r="A150" s="17"/>
      <c r="B150" s="18"/>
      <c r="C150" s="17"/>
      <c r="D150" s="22"/>
      <c r="E150" s="22"/>
      <c r="F150" s="17"/>
    </row>
    <row r="151" customFormat="false" ht="15" hidden="false" customHeight="false" outlineLevel="0" collapsed="false">
      <c r="A151" s="17"/>
      <c r="B151" s="18"/>
      <c r="C151" s="17"/>
      <c r="D151" s="22"/>
      <c r="E151" s="22"/>
      <c r="F151" s="17"/>
    </row>
    <row r="152" customFormat="false" ht="15" hidden="false" customHeight="false" outlineLevel="0" collapsed="false">
      <c r="A152" s="17"/>
      <c r="B152" s="18"/>
      <c r="C152" s="17"/>
      <c r="D152" s="22"/>
      <c r="E152" s="22"/>
      <c r="F152" s="17"/>
    </row>
    <row r="153" customFormat="false" ht="15" hidden="false" customHeight="false" outlineLevel="0" collapsed="false">
      <c r="A153" s="17"/>
      <c r="B153" s="18"/>
      <c r="C153" s="17"/>
      <c r="D153" s="22"/>
      <c r="E153" s="22"/>
      <c r="F153" s="17"/>
    </row>
    <row r="154" customFormat="false" ht="15" hidden="false" customHeight="false" outlineLevel="0" collapsed="false">
      <c r="A154" s="17"/>
      <c r="B154" s="18"/>
      <c r="C154" s="17"/>
      <c r="D154" s="22"/>
      <c r="E154" s="22"/>
      <c r="F154" s="17"/>
    </row>
    <row r="155" customFormat="false" ht="15" hidden="false" customHeight="false" outlineLevel="0" collapsed="false">
      <c r="A155" s="17"/>
      <c r="B155" s="18"/>
      <c r="C155" s="17"/>
      <c r="D155" s="22"/>
      <c r="E155" s="22"/>
      <c r="F155" s="17"/>
    </row>
    <row r="156" customFormat="false" ht="15" hidden="false" customHeight="false" outlineLevel="0" collapsed="false">
      <c r="A156" s="17"/>
      <c r="B156" s="18"/>
      <c r="C156" s="17"/>
      <c r="D156" s="22"/>
      <c r="E156" s="22"/>
      <c r="F156" s="17"/>
    </row>
    <row r="157" customFormat="false" ht="15" hidden="false" customHeight="false" outlineLevel="0" collapsed="false">
      <c r="A157" s="17"/>
      <c r="B157" s="18"/>
      <c r="C157" s="17"/>
      <c r="D157" s="22"/>
      <c r="E157" s="22"/>
      <c r="F157" s="17"/>
    </row>
    <row r="158" customFormat="false" ht="15" hidden="false" customHeight="false" outlineLevel="0" collapsed="false">
      <c r="A158" s="17"/>
      <c r="B158" s="18"/>
      <c r="C158" s="17"/>
      <c r="D158" s="22"/>
      <c r="E158" s="22"/>
      <c r="F158" s="17"/>
    </row>
    <row r="159" customFormat="false" ht="15" hidden="false" customHeight="false" outlineLevel="0" collapsed="false">
      <c r="A159" s="17"/>
      <c r="B159" s="18"/>
      <c r="C159" s="17"/>
      <c r="D159" s="22"/>
      <c r="E159" s="22"/>
      <c r="F159" s="17"/>
    </row>
    <row r="160" customFormat="false" ht="15" hidden="false" customHeight="false" outlineLevel="0" collapsed="false">
      <c r="A160" s="17"/>
      <c r="B160" s="18"/>
      <c r="C160" s="17"/>
      <c r="D160" s="22"/>
      <c r="E160" s="22"/>
      <c r="F160" s="17"/>
    </row>
    <row r="161" customFormat="false" ht="15" hidden="false" customHeight="false" outlineLevel="0" collapsed="false">
      <c r="A161" s="17"/>
      <c r="B161" s="18"/>
      <c r="C161" s="17"/>
      <c r="D161" s="22"/>
      <c r="E161" s="22"/>
      <c r="F161" s="17"/>
    </row>
    <row r="162" customFormat="false" ht="15" hidden="false" customHeight="false" outlineLevel="0" collapsed="false">
      <c r="A162" s="17"/>
      <c r="B162" s="18"/>
      <c r="C162" s="17"/>
      <c r="D162" s="22"/>
      <c r="E162" s="22"/>
      <c r="F162" s="17"/>
    </row>
    <row r="163" customFormat="false" ht="15" hidden="false" customHeight="false" outlineLevel="0" collapsed="false">
      <c r="A163" s="17"/>
      <c r="B163" s="18"/>
      <c r="C163" s="17"/>
      <c r="D163" s="22"/>
      <c r="E163" s="22"/>
      <c r="F163" s="17"/>
    </row>
    <row r="164" customFormat="false" ht="15" hidden="false" customHeight="false" outlineLevel="0" collapsed="false">
      <c r="A164" s="17"/>
      <c r="B164" s="18"/>
      <c r="C164" s="17"/>
      <c r="D164" s="22"/>
      <c r="E164" s="22"/>
      <c r="F164" s="17"/>
    </row>
    <row r="165" customFormat="false" ht="15" hidden="false" customHeight="false" outlineLevel="0" collapsed="false">
      <c r="A165" s="17"/>
      <c r="B165" s="18"/>
      <c r="C165" s="17"/>
      <c r="D165" s="22"/>
      <c r="E165" s="22"/>
      <c r="F165" s="17"/>
    </row>
    <row r="166" customFormat="false" ht="15" hidden="false" customHeight="false" outlineLevel="0" collapsed="false">
      <c r="A166" s="17"/>
      <c r="B166" s="18"/>
      <c r="C166" s="17"/>
      <c r="D166" s="22"/>
      <c r="E166" s="22"/>
      <c r="F166" s="17"/>
    </row>
    <row r="167" customFormat="false" ht="15" hidden="false" customHeight="false" outlineLevel="0" collapsed="false">
      <c r="A167" s="17"/>
      <c r="B167" s="18"/>
      <c r="C167" s="17"/>
      <c r="D167" s="22"/>
      <c r="E167" s="22"/>
      <c r="F167" s="17"/>
    </row>
    <row r="168" customFormat="false" ht="15" hidden="false" customHeight="false" outlineLevel="0" collapsed="false">
      <c r="A168" s="17"/>
      <c r="B168" s="18"/>
      <c r="C168" s="17"/>
      <c r="D168" s="22"/>
      <c r="E168" s="22"/>
      <c r="F168" s="17"/>
    </row>
    <row r="169" customFormat="false" ht="15" hidden="false" customHeight="false" outlineLevel="0" collapsed="false">
      <c r="A169" s="17"/>
      <c r="B169" s="18"/>
      <c r="C169" s="17"/>
      <c r="D169" s="22"/>
      <c r="E169" s="22"/>
      <c r="F169" s="17"/>
    </row>
    <row r="170" customFormat="false" ht="15" hidden="false" customHeight="false" outlineLevel="0" collapsed="false">
      <c r="A170" s="17"/>
      <c r="B170" s="18"/>
      <c r="C170" s="17"/>
      <c r="D170" s="22"/>
      <c r="E170" s="22"/>
      <c r="F170" s="17"/>
    </row>
    <row r="171" customFormat="false" ht="15" hidden="false" customHeight="false" outlineLevel="0" collapsed="false">
      <c r="A171" s="17"/>
      <c r="B171" s="18"/>
      <c r="C171" s="17"/>
      <c r="D171" s="22"/>
      <c r="E171" s="22"/>
      <c r="F171" s="17"/>
    </row>
    <row r="172" customFormat="false" ht="15" hidden="false" customHeight="false" outlineLevel="0" collapsed="false">
      <c r="A172" s="17"/>
      <c r="B172" s="18"/>
      <c r="C172" s="17"/>
      <c r="D172" s="22"/>
      <c r="E172" s="22"/>
      <c r="F172" s="17"/>
    </row>
    <row r="173" customFormat="false" ht="15" hidden="false" customHeight="false" outlineLevel="0" collapsed="false">
      <c r="A173" s="17"/>
      <c r="B173" s="18"/>
      <c r="C173" s="17"/>
      <c r="D173" s="22"/>
      <c r="E173" s="22"/>
      <c r="F173" s="17"/>
    </row>
    <row r="174" customFormat="false" ht="15" hidden="false" customHeight="false" outlineLevel="0" collapsed="false">
      <c r="A174" s="17"/>
      <c r="B174" s="18"/>
      <c r="C174" s="17"/>
      <c r="D174" s="22"/>
      <c r="E174" s="22"/>
      <c r="F174" s="17"/>
    </row>
    <row r="175" customFormat="false" ht="15" hidden="false" customHeight="false" outlineLevel="0" collapsed="false">
      <c r="A175" s="17"/>
      <c r="B175" s="18"/>
      <c r="C175" s="17"/>
      <c r="D175" s="22"/>
      <c r="E175" s="22"/>
      <c r="F175" s="17"/>
    </row>
    <row r="176" customFormat="false" ht="15" hidden="false" customHeight="false" outlineLevel="0" collapsed="false">
      <c r="A176" s="17"/>
      <c r="B176" s="18"/>
      <c r="C176" s="17"/>
      <c r="D176" s="22"/>
      <c r="E176" s="22"/>
      <c r="F176" s="17"/>
    </row>
    <row r="177" customFormat="false" ht="15" hidden="false" customHeight="false" outlineLevel="0" collapsed="false">
      <c r="A177" s="17"/>
      <c r="B177" s="18"/>
      <c r="C177" s="17"/>
      <c r="D177" s="22"/>
      <c r="E177" s="22"/>
      <c r="F177" s="17"/>
    </row>
    <row r="178" customFormat="false" ht="15" hidden="false" customHeight="false" outlineLevel="0" collapsed="false">
      <c r="A178" s="17"/>
      <c r="B178" s="18"/>
      <c r="C178" s="17"/>
      <c r="D178" s="22"/>
      <c r="E178" s="22"/>
      <c r="F178" s="17"/>
    </row>
    <row r="179" customFormat="false" ht="15" hidden="false" customHeight="false" outlineLevel="0" collapsed="false">
      <c r="A179" s="17"/>
      <c r="B179" s="18"/>
      <c r="C179" s="17"/>
      <c r="D179" s="22"/>
      <c r="E179" s="22"/>
      <c r="F179" s="17"/>
    </row>
    <row r="180" customFormat="false" ht="15" hidden="false" customHeight="false" outlineLevel="0" collapsed="false">
      <c r="A180" s="17"/>
      <c r="B180" s="18"/>
      <c r="C180" s="17"/>
      <c r="D180" s="22"/>
      <c r="E180" s="22"/>
      <c r="F180" s="17"/>
    </row>
    <row r="181" customFormat="false" ht="15" hidden="false" customHeight="false" outlineLevel="0" collapsed="false">
      <c r="A181" s="17"/>
      <c r="B181" s="18"/>
      <c r="C181" s="17"/>
      <c r="D181" s="22"/>
      <c r="E181" s="22"/>
      <c r="F181" s="17"/>
    </row>
    <row r="182" customFormat="false" ht="15" hidden="false" customHeight="false" outlineLevel="0" collapsed="false">
      <c r="A182" s="17"/>
      <c r="B182" s="18"/>
      <c r="C182" s="17"/>
      <c r="D182" s="22"/>
      <c r="E182" s="22"/>
      <c r="F182" s="17"/>
    </row>
    <row r="183" customFormat="false" ht="15" hidden="false" customHeight="false" outlineLevel="0" collapsed="false">
      <c r="A183" s="17"/>
      <c r="B183" s="18"/>
      <c r="C183" s="17"/>
      <c r="D183" s="22"/>
      <c r="E183" s="22"/>
      <c r="F183" s="17"/>
    </row>
    <row r="184" customFormat="false" ht="15" hidden="false" customHeight="false" outlineLevel="0" collapsed="false">
      <c r="A184" s="17"/>
      <c r="B184" s="18"/>
      <c r="C184" s="17"/>
      <c r="D184" s="22"/>
      <c r="E184" s="22"/>
      <c r="F184" s="17"/>
    </row>
    <row r="185" customFormat="false" ht="15" hidden="false" customHeight="false" outlineLevel="0" collapsed="false">
      <c r="A185" s="17"/>
      <c r="B185" s="18"/>
      <c r="C185" s="17"/>
      <c r="D185" s="22"/>
      <c r="E185" s="22"/>
      <c r="F185" s="17"/>
    </row>
    <row r="186" customFormat="false" ht="15" hidden="false" customHeight="false" outlineLevel="0" collapsed="false">
      <c r="A186" s="17"/>
      <c r="B186" s="18"/>
      <c r="C186" s="17"/>
      <c r="D186" s="22"/>
      <c r="E186" s="22"/>
      <c r="F186" s="17"/>
    </row>
    <row r="187" customFormat="false" ht="15" hidden="false" customHeight="false" outlineLevel="0" collapsed="false">
      <c r="A187" s="17"/>
      <c r="B187" s="18"/>
      <c r="C187" s="17"/>
      <c r="D187" s="22"/>
      <c r="E187" s="22"/>
      <c r="F187" s="17"/>
    </row>
    <row r="188" customFormat="false" ht="15" hidden="false" customHeight="false" outlineLevel="0" collapsed="false">
      <c r="A188" s="17"/>
      <c r="B188" s="18"/>
      <c r="C188" s="17"/>
      <c r="D188" s="22"/>
      <c r="E188" s="22"/>
      <c r="F188" s="17"/>
    </row>
    <row r="189" customFormat="false" ht="15" hidden="false" customHeight="false" outlineLevel="0" collapsed="false">
      <c r="A189" s="17"/>
      <c r="B189" s="18"/>
      <c r="C189" s="17"/>
      <c r="D189" s="22"/>
      <c r="E189" s="22"/>
      <c r="F189" s="17"/>
    </row>
    <row r="190" customFormat="false" ht="15" hidden="false" customHeight="false" outlineLevel="0" collapsed="false">
      <c r="A190" s="17"/>
      <c r="B190" s="18"/>
      <c r="C190" s="17"/>
      <c r="D190" s="22"/>
      <c r="E190" s="22"/>
      <c r="F190" s="17"/>
    </row>
    <row r="191" customFormat="false" ht="15" hidden="false" customHeight="false" outlineLevel="0" collapsed="false">
      <c r="A191" s="17"/>
      <c r="B191" s="18"/>
      <c r="C191" s="17"/>
      <c r="D191" s="22"/>
      <c r="E191" s="22"/>
      <c r="F191" s="17"/>
    </row>
    <row r="192" customFormat="false" ht="15" hidden="false" customHeight="false" outlineLevel="0" collapsed="false">
      <c r="A192" s="17"/>
      <c r="B192" s="18"/>
      <c r="C192" s="17"/>
      <c r="D192" s="22"/>
      <c r="E192" s="22"/>
      <c r="F192" s="17"/>
    </row>
    <row r="193" customFormat="false" ht="15" hidden="false" customHeight="false" outlineLevel="0" collapsed="false">
      <c r="A193" s="17"/>
      <c r="B193" s="18"/>
      <c r="C193" s="17"/>
      <c r="D193" s="22"/>
      <c r="E193" s="22"/>
      <c r="F193" s="17"/>
    </row>
    <row r="194" customFormat="false" ht="15" hidden="false" customHeight="false" outlineLevel="0" collapsed="false">
      <c r="A194" s="17"/>
      <c r="B194" s="18"/>
      <c r="C194" s="17"/>
      <c r="D194" s="22"/>
      <c r="E194" s="22"/>
      <c r="F194" s="17"/>
    </row>
    <row r="195" customFormat="false" ht="15" hidden="false" customHeight="false" outlineLevel="0" collapsed="false">
      <c r="A195" s="17"/>
      <c r="B195" s="18"/>
      <c r="C195" s="17"/>
      <c r="D195" s="22"/>
      <c r="E195" s="22"/>
      <c r="F195" s="17"/>
    </row>
    <row r="196" customFormat="false" ht="15" hidden="false" customHeight="false" outlineLevel="0" collapsed="false">
      <c r="A196" s="17"/>
      <c r="B196" s="18"/>
      <c r="C196" s="17"/>
      <c r="D196" s="22"/>
      <c r="E196" s="22"/>
      <c r="F196" s="17"/>
    </row>
    <row r="197" customFormat="false" ht="15" hidden="false" customHeight="false" outlineLevel="0" collapsed="false">
      <c r="A197" s="17"/>
      <c r="B197" s="18"/>
      <c r="C197" s="17"/>
      <c r="D197" s="22"/>
      <c r="E197" s="22"/>
      <c r="F197" s="17"/>
    </row>
    <row r="198" customFormat="false" ht="15" hidden="false" customHeight="false" outlineLevel="0" collapsed="false">
      <c r="A198" s="17"/>
      <c r="B198" s="18"/>
      <c r="C198" s="17"/>
      <c r="D198" s="22"/>
      <c r="E198" s="22"/>
      <c r="F198" s="17"/>
    </row>
    <row r="199" customFormat="false" ht="15" hidden="false" customHeight="false" outlineLevel="0" collapsed="false">
      <c r="A199" s="17"/>
      <c r="B199" s="18"/>
      <c r="C199" s="17"/>
      <c r="D199" s="22"/>
      <c r="E199" s="22"/>
      <c r="F199" s="17"/>
    </row>
    <row r="200" customFormat="false" ht="15" hidden="false" customHeight="false" outlineLevel="0" collapsed="false">
      <c r="A200" s="17"/>
      <c r="B200" s="18"/>
      <c r="C200" s="17"/>
      <c r="D200" s="22"/>
      <c r="E200" s="22"/>
      <c r="F200" s="17"/>
    </row>
    <row r="201" customFormat="false" ht="15" hidden="false" customHeight="false" outlineLevel="0" collapsed="false">
      <c r="A201" s="17"/>
      <c r="B201" s="18"/>
      <c r="C201" s="17"/>
      <c r="D201" s="22"/>
      <c r="E201" s="22"/>
      <c r="F201" s="17"/>
    </row>
    <row r="202" customFormat="false" ht="15" hidden="false" customHeight="false" outlineLevel="0" collapsed="false">
      <c r="A202" s="17"/>
      <c r="B202" s="18"/>
      <c r="C202" s="17"/>
      <c r="D202" s="22"/>
      <c r="E202" s="22"/>
      <c r="F202" s="17"/>
    </row>
    <row r="203" customFormat="false" ht="15" hidden="false" customHeight="false" outlineLevel="0" collapsed="false">
      <c r="A203" s="17"/>
      <c r="B203" s="18"/>
      <c r="C203" s="17"/>
      <c r="D203" s="22"/>
      <c r="E203" s="22"/>
      <c r="F203" s="17"/>
    </row>
    <row r="204" customFormat="false" ht="15" hidden="false" customHeight="false" outlineLevel="0" collapsed="false">
      <c r="A204" s="17"/>
      <c r="B204" s="18"/>
      <c r="C204" s="17"/>
      <c r="D204" s="22"/>
      <c r="E204" s="22"/>
      <c r="F204" s="17"/>
    </row>
    <row r="205" customFormat="false" ht="15" hidden="false" customHeight="false" outlineLevel="0" collapsed="false">
      <c r="A205" s="17"/>
      <c r="B205" s="18"/>
      <c r="C205" s="17"/>
      <c r="D205" s="22"/>
      <c r="E205" s="22"/>
      <c r="F205" s="17"/>
    </row>
    <row r="206" customFormat="false" ht="15" hidden="false" customHeight="false" outlineLevel="0" collapsed="false">
      <c r="A206" s="17"/>
      <c r="B206" s="18"/>
      <c r="C206" s="17"/>
      <c r="D206" s="22"/>
      <c r="E206" s="22"/>
      <c r="F206" s="17"/>
    </row>
    <row r="207" customFormat="false" ht="15" hidden="false" customHeight="false" outlineLevel="0" collapsed="false">
      <c r="A207" s="17"/>
      <c r="B207" s="18"/>
      <c r="C207" s="17"/>
      <c r="D207" s="22"/>
      <c r="E207" s="22"/>
      <c r="F207" s="17"/>
    </row>
    <row r="208" customFormat="false" ht="15" hidden="false" customHeight="false" outlineLevel="0" collapsed="false">
      <c r="A208" s="17"/>
      <c r="B208" s="18"/>
      <c r="C208" s="17"/>
      <c r="D208" s="22"/>
      <c r="E208" s="22"/>
      <c r="F208" s="17"/>
    </row>
    <row r="209" customFormat="false" ht="15" hidden="false" customHeight="false" outlineLevel="0" collapsed="false">
      <c r="A209" s="17"/>
      <c r="B209" s="18"/>
      <c r="C209" s="17"/>
      <c r="D209" s="22"/>
      <c r="E209" s="22"/>
      <c r="F209" s="17"/>
    </row>
    <row r="210" customFormat="false" ht="15" hidden="false" customHeight="false" outlineLevel="0" collapsed="false">
      <c r="A210" s="17"/>
      <c r="B210" s="18"/>
      <c r="C210" s="17"/>
      <c r="D210" s="22"/>
      <c r="E210" s="22"/>
      <c r="F210" s="17"/>
    </row>
    <row r="211" customFormat="false" ht="15" hidden="false" customHeight="false" outlineLevel="0" collapsed="false">
      <c r="A211" s="17"/>
      <c r="B211" s="18"/>
      <c r="C211" s="17"/>
      <c r="D211" s="22"/>
      <c r="E211" s="22"/>
      <c r="F211" s="17"/>
    </row>
    <row r="212" customFormat="false" ht="15" hidden="false" customHeight="false" outlineLevel="0" collapsed="false">
      <c r="A212" s="17"/>
      <c r="B212" s="18"/>
      <c r="C212" s="17"/>
      <c r="D212" s="22"/>
      <c r="E212" s="22"/>
      <c r="F212" s="17"/>
    </row>
    <row r="213" customFormat="false" ht="15" hidden="false" customHeight="false" outlineLevel="0" collapsed="false">
      <c r="A213" s="17"/>
      <c r="B213" s="18"/>
      <c r="C213" s="17"/>
      <c r="D213" s="22"/>
      <c r="E213" s="22"/>
      <c r="F213" s="17"/>
    </row>
    <row r="214" customFormat="false" ht="15" hidden="false" customHeight="false" outlineLevel="0" collapsed="false">
      <c r="A214" s="17"/>
      <c r="B214" s="18"/>
      <c r="C214" s="17"/>
      <c r="D214" s="22"/>
      <c r="E214" s="22"/>
      <c r="F214" s="17"/>
    </row>
    <row r="215" customFormat="false" ht="15" hidden="false" customHeight="false" outlineLevel="0" collapsed="false">
      <c r="A215" s="17"/>
      <c r="B215" s="18"/>
      <c r="C215" s="17"/>
      <c r="D215" s="22"/>
      <c r="E215" s="22"/>
      <c r="F215" s="17"/>
    </row>
    <row r="216" customFormat="false" ht="15" hidden="false" customHeight="false" outlineLevel="0" collapsed="false">
      <c r="A216" s="17"/>
      <c r="B216" s="18"/>
      <c r="C216" s="17"/>
      <c r="D216" s="22"/>
      <c r="E216" s="22"/>
      <c r="F216" s="17"/>
    </row>
    <row r="217" customFormat="false" ht="15" hidden="false" customHeight="false" outlineLevel="0" collapsed="false">
      <c r="A217" s="17"/>
      <c r="B217" s="18"/>
      <c r="C217" s="17"/>
      <c r="D217" s="22"/>
      <c r="E217" s="22"/>
      <c r="F217" s="17"/>
    </row>
    <row r="218" customFormat="false" ht="15" hidden="false" customHeight="false" outlineLevel="0" collapsed="false">
      <c r="A218" s="17"/>
      <c r="B218" s="18"/>
      <c r="C218" s="17"/>
      <c r="D218" s="22"/>
      <c r="E218" s="22"/>
      <c r="F218" s="17"/>
    </row>
    <row r="219" customFormat="false" ht="15" hidden="false" customHeight="false" outlineLevel="0" collapsed="false">
      <c r="A219" s="17"/>
      <c r="B219" s="18"/>
      <c r="C219" s="17"/>
      <c r="D219" s="22"/>
      <c r="E219" s="22"/>
      <c r="F219" s="17"/>
    </row>
    <row r="220" customFormat="false" ht="15" hidden="false" customHeight="false" outlineLevel="0" collapsed="false">
      <c r="A220" s="17"/>
      <c r="B220" s="18"/>
      <c r="C220" s="17"/>
      <c r="D220" s="22"/>
      <c r="E220" s="22"/>
      <c r="F220" s="17"/>
    </row>
    <row r="221" customFormat="false" ht="15" hidden="false" customHeight="false" outlineLevel="0" collapsed="false">
      <c r="A221" s="17"/>
      <c r="B221" s="18"/>
      <c r="C221" s="17"/>
      <c r="D221" s="22"/>
      <c r="E221" s="22"/>
      <c r="F221" s="17"/>
    </row>
    <row r="222" customFormat="false" ht="15" hidden="false" customHeight="false" outlineLevel="0" collapsed="false">
      <c r="A222" s="17"/>
      <c r="B222" s="18"/>
      <c r="C222" s="17"/>
      <c r="D222" s="22"/>
      <c r="E222" s="22"/>
      <c r="F222" s="17"/>
    </row>
    <row r="223" customFormat="false" ht="15" hidden="false" customHeight="false" outlineLevel="0" collapsed="false">
      <c r="A223" s="17"/>
      <c r="B223" s="18"/>
      <c r="C223" s="17"/>
      <c r="D223" s="22"/>
      <c r="E223" s="22"/>
      <c r="F223" s="17"/>
    </row>
    <row r="224" customFormat="false" ht="15" hidden="false" customHeight="false" outlineLevel="0" collapsed="false">
      <c r="A224" s="17"/>
      <c r="B224" s="18"/>
      <c r="C224" s="17"/>
      <c r="D224" s="22"/>
      <c r="E224" s="22"/>
      <c r="F224" s="17"/>
    </row>
    <row r="225" customFormat="false" ht="15" hidden="false" customHeight="false" outlineLevel="0" collapsed="false">
      <c r="A225" s="17"/>
      <c r="B225" s="18"/>
      <c r="C225" s="17"/>
      <c r="D225" s="22"/>
      <c r="E225" s="22"/>
      <c r="F225" s="17"/>
    </row>
    <row r="226" customFormat="false" ht="15" hidden="false" customHeight="false" outlineLevel="0" collapsed="false">
      <c r="A226" s="17"/>
      <c r="B226" s="18"/>
      <c r="C226" s="17"/>
      <c r="D226" s="22"/>
      <c r="E226" s="22"/>
      <c r="F226" s="17"/>
    </row>
    <row r="227" customFormat="false" ht="15" hidden="false" customHeight="false" outlineLevel="0" collapsed="false">
      <c r="A227" s="17"/>
      <c r="B227" s="18"/>
      <c r="C227" s="17"/>
      <c r="D227" s="22"/>
      <c r="E227" s="22"/>
      <c r="F227" s="17"/>
    </row>
    <row r="228" customFormat="false" ht="15" hidden="false" customHeight="false" outlineLevel="0" collapsed="false">
      <c r="A228" s="17"/>
      <c r="B228" s="18"/>
      <c r="C228" s="17"/>
      <c r="D228" s="22"/>
      <c r="E228" s="22"/>
      <c r="F228" s="17"/>
    </row>
    <row r="229" customFormat="false" ht="15" hidden="false" customHeight="false" outlineLevel="0" collapsed="false">
      <c r="A229" s="17"/>
      <c r="B229" s="18"/>
      <c r="C229" s="17"/>
      <c r="D229" s="22"/>
      <c r="E229" s="22"/>
      <c r="F229" s="17"/>
    </row>
    <row r="230" customFormat="false" ht="15" hidden="false" customHeight="false" outlineLevel="0" collapsed="false">
      <c r="A230" s="17"/>
      <c r="B230" s="18"/>
      <c r="C230" s="17"/>
      <c r="D230" s="22"/>
      <c r="E230" s="22"/>
      <c r="F230" s="17"/>
    </row>
    <row r="231" customFormat="false" ht="15" hidden="false" customHeight="false" outlineLevel="0" collapsed="false">
      <c r="A231" s="17"/>
      <c r="B231" s="18"/>
      <c r="C231" s="17"/>
      <c r="D231" s="22"/>
      <c r="E231" s="22"/>
      <c r="F231" s="17"/>
    </row>
    <row r="232" customFormat="false" ht="15" hidden="false" customHeight="false" outlineLevel="0" collapsed="false">
      <c r="A232" s="17"/>
      <c r="B232" s="18"/>
      <c r="C232" s="17"/>
      <c r="D232" s="22"/>
      <c r="E232" s="22"/>
      <c r="F232" s="17"/>
    </row>
    <row r="233" customFormat="false" ht="15" hidden="false" customHeight="false" outlineLevel="0" collapsed="false">
      <c r="A233" s="17"/>
      <c r="B233" s="18"/>
      <c r="C233" s="17"/>
      <c r="D233" s="22"/>
      <c r="E233" s="22"/>
      <c r="F233" s="17"/>
    </row>
    <row r="234" customFormat="false" ht="15" hidden="false" customHeight="false" outlineLevel="0" collapsed="false">
      <c r="A234" s="17"/>
      <c r="B234" s="18"/>
      <c r="C234" s="17"/>
      <c r="D234" s="22"/>
      <c r="E234" s="22"/>
      <c r="F234" s="17"/>
    </row>
    <row r="235" customFormat="false" ht="15" hidden="false" customHeight="false" outlineLevel="0" collapsed="false">
      <c r="A235" s="17"/>
      <c r="B235" s="18"/>
      <c r="C235" s="17"/>
      <c r="D235" s="22"/>
      <c r="E235" s="22"/>
      <c r="F235" s="17"/>
    </row>
    <row r="236" customFormat="false" ht="15" hidden="false" customHeight="false" outlineLevel="0" collapsed="false">
      <c r="A236" s="17"/>
      <c r="B236" s="18"/>
      <c r="C236" s="17"/>
      <c r="D236" s="22"/>
      <c r="E236" s="22"/>
      <c r="F236" s="17"/>
    </row>
    <row r="237" customFormat="false" ht="15" hidden="false" customHeight="false" outlineLevel="0" collapsed="false">
      <c r="A237" s="17"/>
      <c r="B237" s="18"/>
      <c r="C237" s="17"/>
      <c r="D237" s="22"/>
      <c r="E237" s="22"/>
      <c r="F237" s="17"/>
    </row>
    <row r="238" customFormat="false" ht="15" hidden="false" customHeight="false" outlineLevel="0" collapsed="false">
      <c r="A238" s="17"/>
      <c r="B238" s="18"/>
      <c r="C238" s="17"/>
      <c r="D238" s="22"/>
      <c r="E238" s="22"/>
      <c r="F238" s="17"/>
    </row>
    <row r="239" customFormat="false" ht="15" hidden="false" customHeight="false" outlineLevel="0" collapsed="false">
      <c r="A239" s="17"/>
      <c r="B239" s="18"/>
      <c r="C239" s="17"/>
      <c r="D239" s="22"/>
      <c r="E239" s="22"/>
      <c r="F239" s="17"/>
    </row>
    <row r="240" customFormat="false" ht="15" hidden="false" customHeight="false" outlineLevel="0" collapsed="false">
      <c r="A240" s="17"/>
      <c r="B240" s="18"/>
      <c r="C240" s="17"/>
      <c r="D240" s="22"/>
      <c r="E240" s="22"/>
      <c r="F240" s="17"/>
    </row>
    <row r="241" customFormat="false" ht="15" hidden="false" customHeight="false" outlineLevel="0" collapsed="false">
      <c r="A241" s="17"/>
      <c r="B241" s="18"/>
      <c r="C241" s="17"/>
      <c r="D241" s="22"/>
      <c r="E241" s="22"/>
      <c r="F241" s="17"/>
    </row>
    <row r="242" customFormat="false" ht="15" hidden="false" customHeight="false" outlineLevel="0" collapsed="false">
      <c r="A242" s="17"/>
      <c r="B242" s="18"/>
      <c r="C242" s="17"/>
      <c r="D242" s="22"/>
      <c r="E242" s="22"/>
      <c r="F242" s="17"/>
    </row>
    <row r="243" customFormat="false" ht="15" hidden="false" customHeight="false" outlineLevel="0" collapsed="false">
      <c r="A243" s="17"/>
      <c r="B243" s="18"/>
      <c r="C243" s="17"/>
      <c r="D243" s="22"/>
      <c r="E243" s="22"/>
      <c r="F243" s="17"/>
    </row>
    <row r="244" customFormat="false" ht="15" hidden="false" customHeight="false" outlineLevel="0" collapsed="false">
      <c r="A244" s="17"/>
      <c r="B244" s="18"/>
      <c r="C244" s="17"/>
      <c r="D244" s="22"/>
      <c r="E244" s="22"/>
      <c r="F244" s="17"/>
    </row>
    <row r="245" customFormat="false" ht="15" hidden="false" customHeight="false" outlineLevel="0" collapsed="false">
      <c r="A245" s="17"/>
      <c r="B245" s="18"/>
      <c r="C245" s="17"/>
      <c r="D245" s="22"/>
      <c r="E245" s="22"/>
      <c r="F245" s="17"/>
    </row>
    <row r="246" customFormat="false" ht="15" hidden="false" customHeight="false" outlineLevel="0" collapsed="false">
      <c r="A246" s="17"/>
      <c r="B246" s="18"/>
      <c r="C246" s="17"/>
      <c r="D246" s="22"/>
      <c r="E246" s="22"/>
      <c r="F246" s="17"/>
    </row>
    <row r="247" customFormat="false" ht="15" hidden="false" customHeight="false" outlineLevel="0" collapsed="false">
      <c r="A247" s="17"/>
      <c r="B247" s="18"/>
      <c r="C247" s="17"/>
      <c r="D247" s="22"/>
      <c r="E247" s="22"/>
      <c r="F247" s="17"/>
    </row>
    <row r="248" customFormat="false" ht="15" hidden="false" customHeight="false" outlineLevel="0" collapsed="false">
      <c r="A248" s="17"/>
      <c r="B248" s="18"/>
      <c r="C248" s="17"/>
      <c r="D248" s="22"/>
      <c r="E248" s="22"/>
      <c r="F248" s="17"/>
    </row>
    <row r="249" customFormat="false" ht="15" hidden="false" customHeight="false" outlineLevel="0" collapsed="false">
      <c r="A249" s="17"/>
      <c r="B249" s="18"/>
      <c r="C249" s="17"/>
      <c r="D249" s="22"/>
      <c r="E249" s="22"/>
      <c r="F249" s="17"/>
    </row>
    <row r="250" customFormat="false" ht="15" hidden="false" customHeight="false" outlineLevel="0" collapsed="false">
      <c r="A250" s="17"/>
      <c r="B250" s="18"/>
      <c r="C250" s="17"/>
      <c r="D250" s="22"/>
      <c r="E250" s="22"/>
      <c r="F250" s="17"/>
    </row>
    <row r="251" customFormat="false" ht="15" hidden="false" customHeight="false" outlineLevel="0" collapsed="false">
      <c r="A251" s="17"/>
      <c r="B251" s="18"/>
      <c r="C251" s="17"/>
      <c r="D251" s="22"/>
      <c r="E251" s="22"/>
      <c r="F251" s="17"/>
    </row>
    <row r="252" customFormat="false" ht="15" hidden="false" customHeight="false" outlineLevel="0" collapsed="false">
      <c r="A252" s="17"/>
      <c r="B252" s="18"/>
      <c r="C252" s="17"/>
      <c r="D252" s="22"/>
      <c r="E252" s="22"/>
      <c r="F252" s="17"/>
    </row>
    <row r="253" customFormat="false" ht="15" hidden="false" customHeight="false" outlineLevel="0" collapsed="false">
      <c r="A253" s="17"/>
      <c r="B253" s="18"/>
      <c r="C253" s="17"/>
      <c r="D253" s="22"/>
      <c r="E253" s="22"/>
      <c r="F253" s="17"/>
    </row>
    <row r="254" customFormat="false" ht="15" hidden="false" customHeight="false" outlineLevel="0" collapsed="false">
      <c r="A254" s="17"/>
      <c r="B254" s="18"/>
      <c r="C254" s="17"/>
      <c r="D254" s="22"/>
      <c r="E254" s="22"/>
      <c r="F254" s="17"/>
    </row>
    <row r="255" customFormat="false" ht="15" hidden="false" customHeight="false" outlineLevel="0" collapsed="false">
      <c r="A255" s="17"/>
      <c r="B255" s="18"/>
      <c r="C255" s="17"/>
      <c r="D255" s="22"/>
      <c r="E255" s="22"/>
      <c r="F255" s="17"/>
    </row>
    <row r="256" customFormat="false" ht="15" hidden="false" customHeight="false" outlineLevel="0" collapsed="false">
      <c r="A256" s="17"/>
      <c r="B256" s="18"/>
      <c r="C256" s="17"/>
      <c r="D256" s="22"/>
      <c r="E256" s="22"/>
      <c r="F256" s="17"/>
    </row>
    <row r="257" customFormat="false" ht="15" hidden="false" customHeight="false" outlineLevel="0" collapsed="false">
      <c r="A257" s="17"/>
      <c r="B257" s="18"/>
      <c r="C257" s="17"/>
      <c r="D257" s="22"/>
      <c r="E257" s="22"/>
      <c r="F257" s="17"/>
    </row>
    <row r="258" customFormat="false" ht="15" hidden="false" customHeight="false" outlineLevel="0" collapsed="false">
      <c r="A258" s="17"/>
      <c r="B258" s="18"/>
      <c r="C258" s="17"/>
      <c r="D258" s="22"/>
      <c r="E258" s="22"/>
      <c r="F258" s="17"/>
    </row>
    <row r="259" customFormat="false" ht="15" hidden="false" customHeight="false" outlineLevel="0" collapsed="false">
      <c r="A259" s="17"/>
      <c r="B259" s="18"/>
      <c r="C259" s="17"/>
      <c r="D259" s="22"/>
      <c r="E259" s="22"/>
      <c r="F259" s="17"/>
    </row>
    <row r="260" customFormat="false" ht="15" hidden="false" customHeight="false" outlineLevel="0" collapsed="false">
      <c r="A260" s="17"/>
      <c r="B260" s="18"/>
      <c r="C260" s="17"/>
      <c r="D260" s="22"/>
      <c r="E260" s="22"/>
      <c r="F260" s="17"/>
    </row>
    <row r="261" customFormat="false" ht="15" hidden="false" customHeight="false" outlineLevel="0" collapsed="false">
      <c r="A261" s="17"/>
      <c r="B261" s="18"/>
      <c r="C261" s="17"/>
      <c r="D261" s="22"/>
      <c r="E261" s="22"/>
      <c r="F261" s="17"/>
    </row>
    <row r="262" customFormat="false" ht="15" hidden="false" customHeight="false" outlineLevel="0" collapsed="false">
      <c r="A262" s="17"/>
      <c r="B262" s="18"/>
      <c r="C262" s="17"/>
      <c r="D262" s="22"/>
      <c r="E262" s="22"/>
      <c r="F262" s="17"/>
    </row>
    <row r="263" customFormat="false" ht="15" hidden="false" customHeight="false" outlineLevel="0" collapsed="false">
      <c r="A263" s="17"/>
      <c r="B263" s="18"/>
      <c r="C263" s="17"/>
      <c r="D263" s="22"/>
      <c r="E263" s="22"/>
      <c r="F263" s="17"/>
    </row>
    <row r="264" customFormat="false" ht="15" hidden="false" customHeight="false" outlineLevel="0" collapsed="false">
      <c r="A264" s="17"/>
      <c r="B264" s="18"/>
      <c r="C264" s="17"/>
      <c r="D264" s="22"/>
      <c r="E264" s="22"/>
      <c r="F264" s="17"/>
    </row>
    <row r="265" customFormat="false" ht="15" hidden="false" customHeight="false" outlineLevel="0" collapsed="false">
      <c r="A265" s="17"/>
      <c r="B265" s="18"/>
      <c r="C265" s="17"/>
      <c r="D265" s="22"/>
      <c r="E265" s="22"/>
      <c r="F265" s="17"/>
    </row>
    <row r="266" customFormat="false" ht="15" hidden="false" customHeight="false" outlineLevel="0" collapsed="false">
      <c r="A266" s="17"/>
      <c r="B266" s="18"/>
      <c r="C266" s="17"/>
      <c r="D266" s="22"/>
      <c r="E266" s="22"/>
      <c r="F266" s="17"/>
    </row>
    <row r="267" customFormat="false" ht="15" hidden="false" customHeight="false" outlineLevel="0" collapsed="false">
      <c r="A267" s="17"/>
      <c r="B267" s="18"/>
      <c r="C267" s="17"/>
      <c r="D267" s="22"/>
      <c r="E267" s="22"/>
      <c r="F267" s="17"/>
    </row>
    <row r="268" customFormat="false" ht="15" hidden="false" customHeight="false" outlineLevel="0" collapsed="false">
      <c r="A268" s="17"/>
      <c r="B268" s="18"/>
      <c r="C268" s="17"/>
      <c r="D268" s="22"/>
      <c r="E268" s="22"/>
      <c r="F268" s="17"/>
    </row>
    <row r="269" customFormat="false" ht="15" hidden="false" customHeight="false" outlineLevel="0" collapsed="false">
      <c r="A269" s="17"/>
      <c r="B269" s="18"/>
      <c r="C269" s="17"/>
      <c r="D269" s="22"/>
      <c r="E269" s="22"/>
      <c r="F269" s="17"/>
    </row>
    <row r="270" customFormat="false" ht="15" hidden="false" customHeight="false" outlineLevel="0" collapsed="false">
      <c r="A270" s="17"/>
      <c r="B270" s="18"/>
      <c r="C270" s="17"/>
      <c r="D270" s="22"/>
      <c r="E270" s="22"/>
      <c r="F270" s="17"/>
    </row>
    <row r="271" customFormat="false" ht="15" hidden="false" customHeight="false" outlineLevel="0" collapsed="false">
      <c r="A271" s="17"/>
      <c r="B271" s="18"/>
      <c r="C271" s="17"/>
      <c r="D271" s="22"/>
      <c r="E271" s="22"/>
      <c r="F271" s="17"/>
    </row>
    <row r="272" customFormat="false" ht="15" hidden="false" customHeight="false" outlineLevel="0" collapsed="false">
      <c r="A272" s="17"/>
      <c r="B272" s="18"/>
      <c r="C272" s="17"/>
      <c r="D272" s="22"/>
      <c r="E272" s="22"/>
      <c r="F272" s="17"/>
    </row>
    <row r="273" customFormat="false" ht="15" hidden="false" customHeight="false" outlineLevel="0" collapsed="false">
      <c r="A273" s="17"/>
      <c r="B273" s="18"/>
      <c r="C273" s="17"/>
      <c r="D273" s="22"/>
      <c r="E273" s="22"/>
      <c r="F273" s="17"/>
    </row>
    <row r="274" customFormat="false" ht="15" hidden="false" customHeight="false" outlineLevel="0" collapsed="false">
      <c r="A274" s="17"/>
      <c r="B274" s="18"/>
      <c r="C274" s="17"/>
      <c r="D274" s="22"/>
      <c r="E274" s="22"/>
      <c r="F274" s="17"/>
    </row>
    <row r="275" customFormat="false" ht="15" hidden="false" customHeight="false" outlineLevel="0" collapsed="false">
      <c r="A275" s="17"/>
      <c r="B275" s="18"/>
      <c r="C275" s="17"/>
      <c r="D275" s="22"/>
      <c r="E275" s="22"/>
      <c r="F275" s="17"/>
    </row>
    <row r="276" customFormat="false" ht="15" hidden="false" customHeight="false" outlineLevel="0" collapsed="false">
      <c r="A276" s="17"/>
      <c r="B276" s="18"/>
      <c r="C276" s="17"/>
      <c r="D276" s="22"/>
      <c r="E276" s="22"/>
      <c r="F276" s="17"/>
    </row>
    <row r="277" customFormat="false" ht="15" hidden="false" customHeight="false" outlineLevel="0" collapsed="false">
      <c r="A277" s="17"/>
      <c r="B277" s="18"/>
      <c r="C277" s="17"/>
      <c r="D277" s="22"/>
      <c r="E277" s="22"/>
      <c r="F277" s="17"/>
    </row>
    <row r="278" customFormat="false" ht="15" hidden="false" customHeight="false" outlineLevel="0" collapsed="false">
      <c r="A278" s="17"/>
      <c r="B278" s="18"/>
      <c r="C278" s="17"/>
      <c r="D278" s="22"/>
      <c r="E278" s="22"/>
      <c r="F278" s="17"/>
    </row>
    <row r="279" customFormat="false" ht="15" hidden="false" customHeight="false" outlineLevel="0" collapsed="false">
      <c r="A279" s="17"/>
      <c r="B279" s="18"/>
      <c r="C279" s="17"/>
      <c r="D279" s="22"/>
      <c r="E279" s="22"/>
      <c r="F279" s="17"/>
    </row>
    <row r="280" customFormat="false" ht="15" hidden="false" customHeight="false" outlineLevel="0" collapsed="false">
      <c r="A280" s="17"/>
      <c r="B280" s="18"/>
      <c r="C280" s="17"/>
      <c r="D280" s="22"/>
      <c r="E280" s="22"/>
      <c r="F280" s="17"/>
    </row>
    <row r="281" customFormat="false" ht="15" hidden="false" customHeight="false" outlineLevel="0" collapsed="false">
      <c r="A281" s="17"/>
      <c r="B281" s="18"/>
      <c r="C281" s="17"/>
      <c r="D281" s="22"/>
      <c r="E281" s="22"/>
      <c r="F281" s="17"/>
    </row>
    <row r="282" customFormat="false" ht="15" hidden="false" customHeight="false" outlineLevel="0" collapsed="false">
      <c r="A282" s="17"/>
      <c r="B282" s="18"/>
      <c r="C282" s="17"/>
      <c r="D282" s="22"/>
      <c r="E282" s="22"/>
      <c r="F282" s="17"/>
    </row>
    <row r="283" customFormat="false" ht="15" hidden="false" customHeight="false" outlineLevel="0" collapsed="false">
      <c r="A283" s="17"/>
      <c r="B283" s="18"/>
      <c r="C283" s="17"/>
      <c r="D283" s="22"/>
      <c r="E283" s="22"/>
      <c r="F283" s="17"/>
    </row>
    <row r="284" customFormat="false" ht="15" hidden="false" customHeight="false" outlineLevel="0" collapsed="false">
      <c r="A284" s="17"/>
      <c r="B284" s="18"/>
      <c r="C284" s="17"/>
      <c r="D284" s="22"/>
      <c r="E284" s="22"/>
      <c r="F284" s="17"/>
    </row>
    <row r="285" customFormat="false" ht="15" hidden="false" customHeight="false" outlineLevel="0" collapsed="false">
      <c r="A285" s="17"/>
      <c r="B285" s="18"/>
      <c r="C285" s="17"/>
      <c r="D285" s="22"/>
      <c r="E285" s="22"/>
      <c r="F285" s="17"/>
    </row>
    <row r="286" customFormat="false" ht="15" hidden="false" customHeight="false" outlineLevel="0" collapsed="false">
      <c r="A286" s="17"/>
      <c r="B286" s="18"/>
      <c r="C286" s="17"/>
      <c r="D286" s="22"/>
      <c r="E286" s="22"/>
      <c r="F286" s="17"/>
    </row>
    <row r="287" customFormat="false" ht="15" hidden="false" customHeight="false" outlineLevel="0" collapsed="false">
      <c r="A287" s="17"/>
      <c r="B287" s="18"/>
      <c r="C287" s="17"/>
      <c r="D287" s="22"/>
      <c r="E287" s="22"/>
      <c r="F287" s="17"/>
    </row>
    <row r="288" customFormat="false" ht="15" hidden="false" customHeight="false" outlineLevel="0" collapsed="false">
      <c r="A288" s="17"/>
      <c r="B288" s="18"/>
      <c r="C288" s="17"/>
      <c r="D288" s="22"/>
      <c r="E288" s="22"/>
      <c r="F288" s="17"/>
    </row>
    <row r="289" customFormat="false" ht="15" hidden="false" customHeight="false" outlineLevel="0" collapsed="false">
      <c r="A289" s="17"/>
      <c r="B289" s="18"/>
      <c r="C289" s="17"/>
      <c r="D289" s="22"/>
      <c r="E289" s="22"/>
      <c r="F289" s="17"/>
    </row>
    <row r="290" customFormat="false" ht="15" hidden="false" customHeight="false" outlineLevel="0" collapsed="false">
      <c r="A290" s="17"/>
      <c r="B290" s="18"/>
      <c r="C290" s="17"/>
      <c r="D290" s="22"/>
      <c r="E290" s="22"/>
      <c r="F290" s="17"/>
    </row>
    <row r="291" customFormat="false" ht="15" hidden="false" customHeight="false" outlineLevel="0" collapsed="false">
      <c r="A291" s="17"/>
      <c r="B291" s="18"/>
      <c r="C291" s="17"/>
      <c r="D291" s="22"/>
      <c r="E291" s="22"/>
      <c r="F291" s="17"/>
    </row>
    <row r="292" customFormat="false" ht="15" hidden="false" customHeight="false" outlineLevel="0" collapsed="false">
      <c r="A292" s="17"/>
      <c r="B292" s="18"/>
      <c r="C292" s="17"/>
      <c r="D292" s="22"/>
      <c r="E292" s="22"/>
      <c r="F292" s="17"/>
    </row>
    <row r="293" customFormat="false" ht="15" hidden="false" customHeight="false" outlineLevel="0" collapsed="false">
      <c r="A293" s="17"/>
      <c r="B293" s="18"/>
      <c r="C293" s="17"/>
      <c r="D293" s="22"/>
      <c r="E293" s="22"/>
      <c r="F293" s="17"/>
    </row>
    <row r="294" customFormat="false" ht="15" hidden="false" customHeight="false" outlineLevel="0" collapsed="false">
      <c r="A294" s="17"/>
      <c r="B294" s="18"/>
      <c r="C294" s="17"/>
      <c r="D294" s="22"/>
      <c r="E294" s="22"/>
      <c r="F294" s="17"/>
    </row>
    <row r="295" customFormat="false" ht="15" hidden="false" customHeight="false" outlineLevel="0" collapsed="false">
      <c r="A295" s="17"/>
      <c r="B295" s="18"/>
      <c r="C295" s="17"/>
      <c r="D295" s="22"/>
      <c r="E295" s="22"/>
      <c r="F295" s="17"/>
    </row>
    <row r="296" customFormat="false" ht="15" hidden="false" customHeight="false" outlineLevel="0" collapsed="false">
      <c r="A296" s="17"/>
      <c r="B296" s="18"/>
      <c r="C296" s="17"/>
      <c r="D296" s="22"/>
      <c r="E296" s="22"/>
      <c r="F296" s="17"/>
    </row>
    <row r="297" customFormat="false" ht="15" hidden="false" customHeight="false" outlineLevel="0" collapsed="false">
      <c r="A297" s="17"/>
      <c r="B297" s="18"/>
      <c r="C297" s="17"/>
      <c r="D297" s="22"/>
      <c r="E297" s="22"/>
      <c r="F297" s="17"/>
    </row>
    <row r="298" customFormat="false" ht="15" hidden="false" customHeight="false" outlineLevel="0" collapsed="false">
      <c r="A298" s="17"/>
      <c r="B298" s="18"/>
      <c r="C298" s="17"/>
      <c r="D298" s="22"/>
      <c r="E298" s="22"/>
      <c r="F298" s="17"/>
    </row>
    <row r="299" customFormat="false" ht="15" hidden="false" customHeight="false" outlineLevel="0" collapsed="false">
      <c r="A299" s="17"/>
      <c r="B299" s="18"/>
      <c r="C299" s="17"/>
      <c r="D299" s="22"/>
      <c r="E299" s="22"/>
      <c r="F299" s="17"/>
    </row>
    <row r="300" customFormat="false" ht="15" hidden="false" customHeight="false" outlineLevel="0" collapsed="false">
      <c r="A300" s="17"/>
      <c r="B300" s="18"/>
      <c r="C300" s="17"/>
      <c r="D300" s="22"/>
      <c r="E300" s="22"/>
      <c r="F300" s="17"/>
    </row>
    <row r="301" customFormat="false" ht="15" hidden="false" customHeight="false" outlineLevel="0" collapsed="false">
      <c r="A301" s="17"/>
      <c r="B301" s="18"/>
      <c r="C301" s="17"/>
      <c r="D301" s="22"/>
      <c r="E301" s="22"/>
      <c r="F301" s="17"/>
    </row>
    <row r="302" customFormat="false" ht="15" hidden="false" customHeight="false" outlineLevel="0" collapsed="false">
      <c r="A302" s="17"/>
      <c r="B302" s="18"/>
      <c r="C302" s="17"/>
      <c r="D302" s="22"/>
      <c r="E302" s="22"/>
      <c r="F302" s="17"/>
    </row>
    <row r="303" customFormat="false" ht="15" hidden="false" customHeight="false" outlineLevel="0" collapsed="false">
      <c r="A303" s="17"/>
      <c r="B303" s="18"/>
      <c r="C303" s="17"/>
      <c r="D303" s="22"/>
      <c r="E303" s="22"/>
      <c r="F303" s="17"/>
    </row>
    <row r="304" customFormat="false" ht="15" hidden="false" customHeight="false" outlineLevel="0" collapsed="false">
      <c r="A304" s="17"/>
      <c r="B304" s="18"/>
      <c r="C304" s="17"/>
      <c r="D304" s="22"/>
      <c r="E304" s="22"/>
      <c r="F304" s="17"/>
    </row>
    <row r="305" customFormat="false" ht="15" hidden="false" customHeight="false" outlineLevel="0" collapsed="false">
      <c r="A305" s="17"/>
      <c r="B305" s="18"/>
      <c r="C305" s="17"/>
      <c r="D305" s="22"/>
      <c r="E305" s="22"/>
      <c r="F305" s="17"/>
    </row>
    <row r="306" customFormat="false" ht="15" hidden="false" customHeight="false" outlineLevel="0" collapsed="false">
      <c r="A306" s="17"/>
      <c r="B306" s="18"/>
      <c r="C306" s="17"/>
      <c r="D306" s="22"/>
      <c r="E306" s="22"/>
      <c r="F306" s="17"/>
    </row>
    <row r="307" customFormat="false" ht="15" hidden="false" customHeight="false" outlineLevel="0" collapsed="false">
      <c r="A307" s="17"/>
      <c r="B307" s="18"/>
      <c r="C307" s="17"/>
      <c r="D307" s="22"/>
      <c r="E307" s="22"/>
      <c r="F307" s="17"/>
    </row>
    <row r="308" customFormat="false" ht="15" hidden="false" customHeight="false" outlineLevel="0" collapsed="false">
      <c r="A308" s="17"/>
      <c r="B308" s="18"/>
      <c r="C308" s="17"/>
      <c r="D308" s="22"/>
      <c r="E308" s="22"/>
      <c r="F308" s="17"/>
    </row>
    <row r="309" customFormat="false" ht="15" hidden="false" customHeight="false" outlineLevel="0" collapsed="false">
      <c r="A309" s="17"/>
      <c r="B309" s="18"/>
      <c r="C309" s="17"/>
      <c r="D309" s="22"/>
      <c r="E309" s="22"/>
      <c r="F309" s="17"/>
    </row>
    <row r="310" customFormat="false" ht="15" hidden="false" customHeight="false" outlineLevel="0" collapsed="false">
      <c r="A310" s="17"/>
      <c r="B310" s="18"/>
      <c r="C310" s="17"/>
      <c r="D310" s="22"/>
      <c r="E310" s="22"/>
      <c r="F310" s="17"/>
    </row>
    <row r="311" customFormat="false" ht="15" hidden="false" customHeight="false" outlineLevel="0" collapsed="false">
      <c r="A311" s="17"/>
      <c r="B311" s="18"/>
      <c r="C311" s="17"/>
      <c r="D311" s="22"/>
      <c r="E311" s="22"/>
      <c r="F311" s="17"/>
    </row>
    <row r="312" customFormat="false" ht="15" hidden="false" customHeight="false" outlineLevel="0" collapsed="false">
      <c r="A312" s="17"/>
      <c r="B312" s="18"/>
      <c r="C312" s="17"/>
      <c r="D312" s="22"/>
      <c r="E312" s="22"/>
      <c r="F312" s="17"/>
    </row>
    <row r="313" customFormat="false" ht="15" hidden="false" customHeight="false" outlineLevel="0" collapsed="false">
      <c r="A313" s="17"/>
      <c r="B313" s="18"/>
      <c r="C313" s="17"/>
      <c r="D313" s="22"/>
      <c r="E313" s="22"/>
      <c r="F313" s="17"/>
    </row>
    <row r="314" customFormat="false" ht="15" hidden="false" customHeight="false" outlineLevel="0" collapsed="false">
      <c r="A314" s="17"/>
      <c r="B314" s="18"/>
      <c r="C314" s="17"/>
      <c r="D314" s="22"/>
      <c r="E314" s="22"/>
      <c r="F314" s="17"/>
    </row>
    <row r="315" customFormat="false" ht="15" hidden="false" customHeight="false" outlineLevel="0" collapsed="false">
      <c r="A315" s="17"/>
      <c r="B315" s="18"/>
      <c r="C315" s="17"/>
      <c r="D315" s="22"/>
      <c r="E315" s="22"/>
      <c r="F315" s="17"/>
    </row>
    <row r="316" customFormat="false" ht="15" hidden="false" customHeight="false" outlineLevel="0" collapsed="false">
      <c r="A316" s="17"/>
      <c r="B316" s="18"/>
      <c r="C316" s="17"/>
      <c r="D316" s="22"/>
      <c r="E316" s="22"/>
      <c r="F316" s="17"/>
    </row>
    <row r="317" customFormat="false" ht="15" hidden="false" customHeight="false" outlineLevel="0" collapsed="false">
      <c r="A317" s="17"/>
      <c r="B317" s="18"/>
      <c r="C317" s="17"/>
      <c r="D317" s="22"/>
      <c r="E317" s="22"/>
      <c r="F317" s="17"/>
    </row>
    <row r="318" customFormat="false" ht="15" hidden="false" customHeight="false" outlineLevel="0" collapsed="false">
      <c r="A318" s="17"/>
      <c r="B318" s="18"/>
      <c r="C318" s="17"/>
      <c r="D318" s="22"/>
      <c r="E318" s="22"/>
      <c r="F318" s="17"/>
    </row>
    <row r="319" customFormat="false" ht="15" hidden="false" customHeight="false" outlineLevel="0" collapsed="false">
      <c r="A319" s="17"/>
      <c r="B319" s="18"/>
      <c r="C319" s="17"/>
      <c r="D319" s="22"/>
      <c r="E319" s="22"/>
      <c r="F319" s="17"/>
    </row>
    <row r="320" customFormat="false" ht="15" hidden="false" customHeight="false" outlineLevel="0" collapsed="false">
      <c r="A320" s="17"/>
      <c r="B320" s="18"/>
      <c r="C320" s="17"/>
      <c r="D320" s="22"/>
      <c r="E320" s="22"/>
      <c r="F320" s="17"/>
    </row>
    <row r="321" customFormat="false" ht="15" hidden="false" customHeight="false" outlineLevel="0" collapsed="false">
      <c r="A321" s="17"/>
      <c r="B321" s="18"/>
      <c r="C321" s="17"/>
      <c r="D321" s="22"/>
      <c r="E321" s="22"/>
      <c r="F321" s="17"/>
    </row>
    <row r="322" customFormat="false" ht="15" hidden="false" customHeight="false" outlineLevel="0" collapsed="false">
      <c r="A322" s="17"/>
      <c r="B322" s="18"/>
      <c r="C322" s="17"/>
      <c r="D322" s="22"/>
      <c r="E322" s="22"/>
      <c r="F322" s="17"/>
    </row>
    <row r="323" customFormat="false" ht="15" hidden="false" customHeight="false" outlineLevel="0" collapsed="false">
      <c r="A323" s="17"/>
      <c r="B323" s="18"/>
      <c r="C323" s="17"/>
      <c r="D323" s="22"/>
      <c r="E323" s="22"/>
      <c r="F323" s="17"/>
    </row>
    <row r="324" customFormat="false" ht="15" hidden="false" customHeight="false" outlineLevel="0" collapsed="false">
      <c r="A324" s="17"/>
      <c r="B324" s="18"/>
      <c r="C324" s="17"/>
      <c r="D324" s="22"/>
      <c r="E324" s="22"/>
      <c r="F324" s="17"/>
    </row>
    <row r="325" customFormat="false" ht="15" hidden="false" customHeight="false" outlineLevel="0" collapsed="false">
      <c r="A325" s="17"/>
      <c r="B325" s="18"/>
      <c r="C325" s="17"/>
      <c r="D325" s="22"/>
      <c r="E325" s="22"/>
      <c r="F325" s="17"/>
    </row>
    <row r="326" customFormat="false" ht="15" hidden="false" customHeight="false" outlineLevel="0" collapsed="false">
      <c r="A326" s="17"/>
      <c r="B326" s="18"/>
      <c r="C326" s="17"/>
      <c r="D326" s="22"/>
      <c r="E326" s="22"/>
      <c r="F326" s="17"/>
    </row>
    <row r="327" customFormat="false" ht="15" hidden="false" customHeight="false" outlineLevel="0" collapsed="false">
      <c r="A327" s="17"/>
      <c r="B327" s="18"/>
      <c r="C327" s="17"/>
      <c r="D327" s="22"/>
      <c r="E327" s="22"/>
      <c r="F327" s="17"/>
    </row>
    <row r="328" customFormat="false" ht="15" hidden="false" customHeight="false" outlineLevel="0" collapsed="false">
      <c r="A328" s="17"/>
      <c r="B328" s="18"/>
      <c r="C328" s="17"/>
      <c r="D328" s="22"/>
      <c r="E328" s="22"/>
      <c r="F328" s="17"/>
    </row>
    <row r="329" customFormat="false" ht="15" hidden="false" customHeight="false" outlineLevel="0" collapsed="false">
      <c r="A329" s="17"/>
      <c r="B329" s="18"/>
      <c r="C329" s="17"/>
      <c r="D329" s="22"/>
      <c r="E329" s="22"/>
      <c r="F329" s="17"/>
    </row>
    <row r="330" customFormat="false" ht="15" hidden="false" customHeight="false" outlineLevel="0" collapsed="false">
      <c r="A330" s="17"/>
      <c r="B330" s="18"/>
      <c r="C330" s="17"/>
      <c r="D330" s="22"/>
      <c r="E330" s="22"/>
      <c r="F330" s="17"/>
    </row>
    <row r="331" customFormat="false" ht="15" hidden="false" customHeight="false" outlineLevel="0" collapsed="false">
      <c r="A331" s="17"/>
      <c r="B331" s="18"/>
      <c r="C331" s="17"/>
      <c r="D331" s="22"/>
      <c r="E331" s="22"/>
      <c r="F331" s="17"/>
    </row>
    <row r="332" customFormat="false" ht="15" hidden="false" customHeight="false" outlineLevel="0" collapsed="false">
      <c r="A332" s="17"/>
      <c r="B332" s="18"/>
      <c r="C332" s="17"/>
      <c r="D332" s="22"/>
      <c r="E332" s="22"/>
      <c r="F332" s="17"/>
    </row>
    <row r="333" customFormat="false" ht="15" hidden="false" customHeight="false" outlineLevel="0" collapsed="false">
      <c r="A333" s="17"/>
      <c r="B333" s="18"/>
      <c r="C333" s="17"/>
      <c r="D333" s="22"/>
      <c r="E333" s="22"/>
      <c r="F333" s="17"/>
    </row>
    <row r="334" customFormat="false" ht="15" hidden="false" customHeight="false" outlineLevel="0" collapsed="false">
      <c r="A334" s="17"/>
      <c r="B334" s="18"/>
      <c r="C334" s="17"/>
      <c r="D334" s="22"/>
      <c r="E334" s="22"/>
      <c r="F334" s="17"/>
    </row>
    <row r="335" customFormat="false" ht="15" hidden="false" customHeight="false" outlineLevel="0" collapsed="false">
      <c r="A335" s="17"/>
      <c r="B335" s="18"/>
      <c r="C335" s="17"/>
      <c r="D335" s="22"/>
      <c r="E335" s="22"/>
      <c r="F335" s="17"/>
    </row>
    <row r="336" customFormat="false" ht="15" hidden="false" customHeight="false" outlineLevel="0" collapsed="false">
      <c r="A336" s="17"/>
      <c r="B336" s="18"/>
      <c r="C336" s="17"/>
      <c r="D336" s="22"/>
      <c r="E336" s="22"/>
      <c r="F336" s="17"/>
    </row>
    <row r="337" customFormat="false" ht="15" hidden="false" customHeight="false" outlineLevel="0" collapsed="false">
      <c r="A337" s="17"/>
      <c r="B337" s="18"/>
      <c r="C337" s="17"/>
      <c r="D337" s="22"/>
      <c r="E337" s="22"/>
      <c r="F337" s="17"/>
    </row>
    <row r="338" customFormat="false" ht="15" hidden="false" customHeight="false" outlineLevel="0" collapsed="false">
      <c r="A338" s="17"/>
      <c r="B338" s="18"/>
      <c r="C338" s="17"/>
      <c r="D338" s="22"/>
      <c r="E338" s="22"/>
      <c r="F338" s="17"/>
    </row>
    <row r="339" customFormat="false" ht="15" hidden="false" customHeight="false" outlineLevel="0" collapsed="false">
      <c r="A339" s="17"/>
      <c r="B339" s="18"/>
      <c r="C339" s="17"/>
      <c r="D339" s="22"/>
      <c r="E339" s="22"/>
      <c r="F339" s="17"/>
    </row>
    <row r="340" customFormat="false" ht="15" hidden="false" customHeight="false" outlineLevel="0" collapsed="false">
      <c r="A340" s="17"/>
      <c r="B340" s="18"/>
      <c r="C340" s="17"/>
      <c r="D340" s="22"/>
      <c r="E340" s="22"/>
      <c r="F340" s="17"/>
    </row>
    <row r="341" customFormat="false" ht="15" hidden="false" customHeight="false" outlineLevel="0" collapsed="false">
      <c r="A341" s="17"/>
      <c r="B341" s="18"/>
      <c r="C341" s="17"/>
      <c r="D341" s="22"/>
      <c r="E341" s="22"/>
      <c r="F341" s="17"/>
    </row>
    <row r="342" customFormat="false" ht="15" hidden="false" customHeight="false" outlineLevel="0" collapsed="false">
      <c r="A342" s="17"/>
      <c r="B342" s="18"/>
      <c r="C342" s="17"/>
      <c r="D342" s="22"/>
      <c r="E342" s="22"/>
      <c r="F342" s="17"/>
    </row>
    <row r="343" customFormat="false" ht="15" hidden="false" customHeight="false" outlineLevel="0" collapsed="false">
      <c r="A343" s="17"/>
      <c r="B343" s="18"/>
      <c r="C343" s="17"/>
      <c r="D343" s="22"/>
      <c r="E343" s="22"/>
      <c r="F343" s="17"/>
    </row>
    <row r="344" customFormat="false" ht="15" hidden="false" customHeight="false" outlineLevel="0" collapsed="false">
      <c r="A344" s="17"/>
      <c r="B344" s="18"/>
      <c r="C344" s="17"/>
      <c r="D344" s="22"/>
      <c r="E344" s="22"/>
      <c r="F344" s="17"/>
    </row>
    <row r="345" customFormat="false" ht="15" hidden="false" customHeight="false" outlineLevel="0" collapsed="false">
      <c r="A345" s="17"/>
      <c r="B345" s="18"/>
      <c r="C345" s="17"/>
      <c r="D345" s="22"/>
      <c r="E345" s="22"/>
      <c r="F345" s="17"/>
    </row>
    <row r="346" customFormat="false" ht="15" hidden="false" customHeight="false" outlineLevel="0" collapsed="false">
      <c r="A346" s="17"/>
      <c r="B346" s="18"/>
      <c r="C346" s="17"/>
      <c r="D346" s="22"/>
      <c r="E346" s="22"/>
      <c r="F346" s="17"/>
    </row>
    <row r="347" customFormat="false" ht="15" hidden="false" customHeight="false" outlineLevel="0" collapsed="false">
      <c r="A347" s="17"/>
      <c r="B347" s="18"/>
      <c r="C347" s="17"/>
      <c r="D347" s="22"/>
      <c r="E347" s="22"/>
      <c r="F347" s="17"/>
    </row>
    <row r="348" customFormat="false" ht="15" hidden="false" customHeight="false" outlineLevel="0" collapsed="false">
      <c r="A348" s="17"/>
      <c r="B348" s="18"/>
      <c r="C348" s="17"/>
      <c r="D348" s="22"/>
      <c r="E348" s="22"/>
      <c r="F348" s="17"/>
    </row>
    <row r="349" customFormat="false" ht="15" hidden="false" customHeight="false" outlineLevel="0" collapsed="false">
      <c r="A349" s="17"/>
      <c r="B349" s="18"/>
      <c r="C349" s="17"/>
      <c r="D349" s="22"/>
      <c r="E349" s="22"/>
      <c r="F349" s="17"/>
    </row>
    <row r="350" customFormat="false" ht="15" hidden="false" customHeight="false" outlineLevel="0" collapsed="false">
      <c r="A350" s="17"/>
      <c r="B350" s="18"/>
      <c r="C350" s="17"/>
      <c r="D350" s="22"/>
      <c r="E350" s="22"/>
      <c r="F350" s="17"/>
    </row>
    <row r="351" customFormat="false" ht="15" hidden="false" customHeight="false" outlineLevel="0" collapsed="false">
      <c r="A351" s="17"/>
      <c r="B351" s="18"/>
      <c r="C351" s="17"/>
      <c r="D351" s="22"/>
      <c r="E351" s="22"/>
      <c r="F351" s="17"/>
    </row>
    <row r="352" customFormat="false" ht="15" hidden="false" customHeight="false" outlineLevel="0" collapsed="false">
      <c r="A352" s="17"/>
      <c r="B352" s="18"/>
      <c r="C352" s="17"/>
      <c r="D352" s="22"/>
      <c r="E352" s="22"/>
      <c r="F352" s="17"/>
    </row>
    <row r="353" customFormat="false" ht="15" hidden="false" customHeight="false" outlineLevel="0" collapsed="false">
      <c r="A353" s="17"/>
      <c r="B353" s="18"/>
      <c r="C353" s="17"/>
      <c r="D353" s="22"/>
      <c r="E353" s="22"/>
      <c r="F353" s="17"/>
    </row>
    <row r="354" customFormat="false" ht="15" hidden="false" customHeight="false" outlineLevel="0" collapsed="false">
      <c r="A354" s="17"/>
      <c r="B354" s="18"/>
      <c r="C354" s="17"/>
      <c r="D354" s="22"/>
      <c r="E354" s="22"/>
      <c r="F354" s="17"/>
    </row>
    <row r="355" customFormat="false" ht="15" hidden="false" customHeight="false" outlineLevel="0" collapsed="false">
      <c r="A355" s="17"/>
      <c r="B355" s="18"/>
      <c r="C355" s="17"/>
      <c r="D355" s="22"/>
      <c r="E355" s="22"/>
      <c r="F355" s="17"/>
    </row>
    <row r="356" customFormat="false" ht="15" hidden="false" customHeight="false" outlineLevel="0" collapsed="false">
      <c r="A356" s="17"/>
      <c r="B356" s="18"/>
      <c r="C356" s="17"/>
      <c r="D356" s="22"/>
      <c r="E356" s="22"/>
      <c r="F356" s="17"/>
    </row>
    <row r="357" customFormat="false" ht="15" hidden="false" customHeight="false" outlineLevel="0" collapsed="false">
      <c r="A357" s="17"/>
      <c r="B357" s="18"/>
      <c r="C357" s="17"/>
      <c r="D357" s="22"/>
      <c r="E357" s="22"/>
      <c r="F357" s="17"/>
    </row>
    <row r="358" customFormat="false" ht="15" hidden="false" customHeight="false" outlineLevel="0" collapsed="false">
      <c r="A358" s="17"/>
      <c r="B358" s="18"/>
      <c r="C358" s="17"/>
      <c r="D358" s="22"/>
      <c r="E358" s="22"/>
      <c r="F358" s="17"/>
    </row>
    <row r="359" customFormat="false" ht="15" hidden="false" customHeight="false" outlineLevel="0" collapsed="false">
      <c r="A359" s="17"/>
      <c r="B359" s="18"/>
      <c r="C359" s="17"/>
      <c r="D359" s="22"/>
      <c r="E359" s="22"/>
      <c r="F359" s="17"/>
    </row>
    <row r="360" customFormat="false" ht="15" hidden="false" customHeight="false" outlineLevel="0" collapsed="false">
      <c r="A360" s="17"/>
      <c r="B360" s="18"/>
      <c r="C360" s="17"/>
      <c r="D360" s="22"/>
      <c r="E360" s="22"/>
      <c r="F360" s="17"/>
    </row>
    <row r="361" customFormat="false" ht="15" hidden="false" customHeight="false" outlineLevel="0" collapsed="false">
      <c r="A361" s="17"/>
      <c r="B361" s="18"/>
      <c r="C361" s="17"/>
      <c r="D361" s="22"/>
      <c r="E361" s="22"/>
      <c r="F361" s="17"/>
    </row>
    <row r="362" customFormat="false" ht="15" hidden="false" customHeight="false" outlineLevel="0" collapsed="false">
      <c r="A362" s="17"/>
      <c r="B362" s="18"/>
      <c r="C362" s="17"/>
      <c r="D362" s="22"/>
      <c r="E362" s="22"/>
      <c r="F362" s="17"/>
    </row>
    <row r="363" customFormat="false" ht="15" hidden="false" customHeight="false" outlineLevel="0" collapsed="false">
      <c r="A363" s="17"/>
      <c r="B363" s="18"/>
      <c r="C363" s="17"/>
      <c r="D363" s="22"/>
      <c r="E363" s="22"/>
      <c r="F363" s="17"/>
    </row>
    <row r="364" customFormat="false" ht="15" hidden="false" customHeight="false" outlineLevel="0" collapsed="false">
      <c r="A364" s="17"/>
      <c r="B364" s="18"/>
      <c r="C364" s="17"/>
      <c r="D364" s="22"/>
      <c r="E364" s="22"/>
      <c r="F364" s="17"/>
    </row>
    <row r="365" customFormat="false" ht="15" hidden="false" customHeight="false" outlineLevel="0" collapsed="false">
      <c r="A365" s="17"/>
      <c r="B365" s="18"/>
      <c r="C365" s="17"/>
      <c r="D365" s="22"/>
      <c r="E365" s="22"/>
      <c r="F365" s="17"/>
    </row>
    <row r="366" customFormat="false" ht="15" hidden="false" customHeight="false" outlineLevel="0" collapsed="false">
      <c r="A366" s="17"/>
      <c r="B366" s="18"/>
      <c r="C366" s="17"/>
      <c r="D366" s="22"/>
      <c r="E366" s="22"/>
      <c r="F366" s="17"/>
    </row>
    <row r="367" customFormat="false" ht="15" hidden="false" customHeight="false" outlineLevel="0" collapsed="false">
      <c r="A367" s="17"/>
      <c r="B367" s="18"/>
      <c r="C367" s="17"/>
      <c r="D367" s="22"/>
      <c r="E367" s="22"/>
      <c r="F367" s="17"/>
    </row>
    <row r="368" customFormat="false" ht="15" hidden="false" customHeight="false" outlineLevel="0" collapsed="false">
      <c r="A368" s="17"/>
      <c r="B368" s="18"/>
      <c r="C368" s="17"/>
      <c r="D368" s="22"/>
      <c r="E368" s="22"/>
      <c r="F368" s="17"/>
    </row>
    <row r="369" customFormat="false" ht="15" hidden="false" customHeight="false" outlineLevel="0" collapsed="false">
      <c r="A369" s="17"/>
      <c r="B369" s="18"/>
      <c r="C369" s="17"/>
      <c r="D369" s="22"/>
      <c r="E369" s="22"/>
      <c r="F369" s="17"/>
    </row>
    <row r="370" customFormat="false" ht="15" hidden="false" customHeight="false" outlineLevel="0" collapsed="false">
      <c r="A370" s="17"/>
      <c r="B370" s="18"/>
      <c r="C370" s="17"/>
      <c r="D370" s="22"/>
      <c r="E370" s="22"/>
      <c r="F370" s="17"/>
    </row>
    <row r="371" customFormat="false" ht="15" hidden="false" customHeight="false" outlineLevel="0" collapsed="false">
      <c r="A371" s="17"/>
      <c r="B371" s="18"/>
      <c r="C371" s="17"/>
      <c r="D371" s="22"/>
      <c r="E371" s="22"/>
      <c r="F371" s="17"/>
    </row>
    <row r="372" customFormat="false" ht="15" hidden="false" customHeight="false" outlineLevel="0" collapsed="false">
      <c r="A372" s="17"/>
      <c r="B372" s="18"/>
      <c r="C372" s="17"/>
      <c r="D372" s="22"/>
      <c r="E372" s="22"/>
      <c r="F372" s="17"/>
    </row>
    <row r="373" customFormat="false" ht="15" hidden="false" customHeight="false" outlineLevel="0" collapsed="false">
      <c r="A373" s="17"/>
      <c r="B373" s="18"/>
      <c r="C373" s="17"/>
      <c r="D373" s="22"/>
      <c r="E373" s="22"/>
      <c r="F373" s="17"/>
    </row>
    <row r="374" customFormat="false" ht="15" hidden="false" customHeight="false" outlineLevel="0" collapsed="false">
      <c r="A374" s="17"/>
      <c r="B374" s="18"/>
      <c r="C374" s="17"/>
      <c r="D374" s="22"/>
      <c r="E374" s="22"/>
      <c r="F374" s="17"/>
    </row>
    <row r="375" customFormat="false" ht="15" hidden="false" customHeight="false" outlineLevel="0" collapsed="false">
      <c r="A375" s="17"/>
      <c r="B375" s="18"/>
      <c r="C375" s="17"/>
      <c r="D375" s="22"/>
      <c r="E375" s="22"/>
      <c r="F375" s="17"/>
    </row>
    <row r="376" customFormat="false" ht="15" hidden="false" customHeight="false" outlineLevel="0" collapsed="false">
      <c r="A376" s="17"/>
      <c r="B376" s="18"/>
      <c r="C376" s="17"/>
      <c r="D376" s="22"/>
      <c r="E376" s="22"/>
      <c r="F376" s="17"/>
    </row>
    <row r="377" customFormat="false" ht="15" hidden="false" customHeight="false" outlineLevel="0" collapsed="false">
      <c r="A377" s="17"/>
      <c r="B377" s="18"/>
      <c r="C377" s="17"/>
      <c r="D377" s="22"/>
      <c r="E377" s="22"/>
      <c r="F377" s="17"/>
    </row>
    <row r="378" customFormat="false" ht="15" hidden="false" customHeight="false" outlineLevel="0" collapsed="false">
      <c r="A378" s="17"/>
      <c r="B378" s="18"/>
      <c r="C378" s="17"/>
      <c r="D378" s="22"/>
      <c r="E378" s="22"/>
      <c r="F378" s="17"/>
    </row>
    <row r="379" customFormat="false" ht="15" hidden="false" customHeight="false" outlineLevel="0" collapsed="false">
      <c r="A379" s="17"/>
      <c r="B379" s="18"/>
      <c r="C379" s="17"/>
      <c r="D379" s="22"/>
      <c r="E379" s="22"/>
      <c r="F379" s="17"/>
    </row>
    <row r="380" customFormat="false" ht="15" hidden="false" customHeight="false" outlineLevel="0" collapsed="false">
      <c r="A380" s="17"/>
      <c r="B380" s="18"/>
      <c r="C380" s="17"/>
      <c r="D380" s="22"/>
      <c r="E380" s="22"/>
      <c r="F380" s="17"/>
    </row>
    <row r="381" customFormat="false" ht="15" hidden="false" customHeight="false" outlineLevel="0" collapsed="false">
      <c r="A381" s="17"/>
      <c r="B381" s="18"/>
      <c r="C381" s="17"/>
      <c r="D381" s="22"/>
      <c r="E381" s="22"/>
      <c r="F381" s="17"/>
    </row>
    <row r="382" customFormat="false" ht="15" hidden="false" customHeight="false" outlineLevel="0" collapsed="false">
      <c r="A382" s="17"/>
      <c r="B382" s="18"/>
      <c r="C382" s="17"/>
      <c r="D382" s="22"/>
      <c r="E382" s="22"/>
      <c r="F382" s="17"/>
    </row>
    <row r="383" customFormat="false" ht="15" hidden="false" customHeight="false" outlineLevel="0" collapsed="false">
      <c r="A383" s="17"/>
      <c r="B383" s="18"/>
      <c r="C383" s="17"/>
      <c r="D383" s="22"/>
      <c r="E383" s="22"/>
      <c r="F383" s="17"/>
    </row>
    <row r="384" customFormat="false" ht="15" hidden="false" customHeight="false" outlineLevel="0" collapsed="false">
      <c r="A384" s="17"/>
      <c r="B384" s="18"/>
      <c r="C384" s="17"/>
      <c r="D384" s="22"/>
      <c r="E384" s="22"/>
      <c r="F384" s="17"/>
    </row>
    <row r="385" customFormat="false" ht="15" hidden="false" customHeight="false" outlineLevel="0" collapsed="false">
      <c r="A385" s="17"/>
      <c r="B385" s="18"/>
      <c r="C385" s="17"/>
      <c r="D385" s="22"/>
      <c r="E385" s="22"/>
      <c r="F385" s="17"/>
    </row>
    <row r="386" customFormat="false" ht="15" hidden="false" customHeight="false" outlineLevel="0" collapsed="false">
      <c r="A386" s="17"/>
      <c r="B386" s="18"/>
      <c r="C386" s="17"/>
      <c r="D386" s="22"/>
      <c r="E386" s="22"/>
      <c r="F386" s="17"/>
    </row>
    <row r="387" customFormat="false" ht="15" hidden="false" customHeight="false" outlineLevel="0" collapsed="false">
      <c r="A387" s="17"/>
      <c r="B387" s="18"/>
      <c r="C387" s="17"/>
      <c r="D387" s="22"/>
      <c r="E387" s="22"/>
      <c r="F387" s="17"/>
    </row>
    <row r="388" customFormat="false" ht="15" hidden="false" customHeight="false" outlineLevel="0" collapsed="false">
      <c r="A388" s="17"/>
      <c r="B388" s="18"/>
      <c r="C388" s="17"/>
      <c r="D388" s="22"/>
      <c r="E388" s="22"/>
      <c r="F388" s="17"/>
    </row>
    <row r="389" customFormat="false" ht="15" hidden="false" customHeight="false" outlineLevel="0" collapsed="false">
      <c r="A389" s="17"/>
      <c r="B389" s="18"/>
      <c r="C389" s="17"/>
      <c r="D389" s="22"/>
      <c r="E389" s="22"/>
      <c r="F389" s="17"/>
    </row>
    <row r="390" customFormat="false" ht="15" hidden="false" customHeight="false" outlineLevel="0" collapsed="false">
      <c r="A390" s="17"/>
      <c r="B390" s="18"/>
      <c r="C390" s="17"/>
      <c r="D390" s="22"/>
      <c r="E390" s="22"/>
      <c r="F390" s="17"/>
    </row>
    <row r="391" customFormat="false" ht="15" hidden="false" customHeight="false" outlineLevel="0" collapsed="false">
      <c r="A391" s="17"/>
      <c r="B391" s="18"/>
      <c r="C391" s="17"/>
      <c r="D391" s="22"/>
      <c r="E391" s="22"/>
      <c r="F391" s="17"/>
    </row>
    <row r="392" customFormat="false" ht="15" hidden="false" customHeight="false" outlineLevel="0" collapsed="false">
      <c r="A392" s="17"/>
      <c r="B392" s="18"/>
      <c r="C392" s="17"/>
      <c r="D392" s="22"/>
      <c r="E392" s="22"/>
      <c r="F392" s="17"/>
    </row>
    <row r="393" customFormat="false" ht="15" hidden="false" customHeight="false" outlineLevel="0" collapsed="false">
      <c r="A393" s="17"/>
      <c r="B393" s="18"/>
      <c r="C393" s="17"/>
      <c r="D393" s="22"/>
      <c r="E393" s="22"/>
      <c r="F393" s="17"/>
    </row>
    <row r="394" customFormat="false" ht="15" hidden="false" customHeight="false" outlineLevel="0" collapsed="false">
      <c r="A394" s="17"/>
      <c r="B394" s="18"/>
      <c r="C394" s="17"/>
      <c r="D394" s="22"/>
      <c r="E394" s="22"/>
      <c r="F394" s="17"/>
    </row>
    <row r="395" customFormat="false" ht="15" hidden="false" customHeight="false" outlineLevel="0" collapsed="false">
      <c r="A395" s="17"/>
      <c r="B395" s="18"/>
      <c r="C395" s="17"/>
      <c r="D395" s="22"/>
      <c r="E395" s="22"/>
      <c r="F395" s="17"/>
    </row>
    <row r="396" customFormat="false" ht="15" hidden="false" customHeight="false" outlineLevel="0" collapsed="false">
      <c r="A396" s="17"/>
      <c r="B396" s="18"/>
      <c r="C396" s="17"/>
      <c r="D396" s="22"/>
      <c r="E396" s="22"/>
      <c r="F396" s="17"/>
    </row>
    <row r="397" customFormat="false" ht="15" hidden="false" customHeight="false" outlineLevel="0" collapsed="false">
      <c r="A397" s="17"/>
      <c r="B397" s="18"/>
      <c r="C397" s="17"/>
      <c r="D397" s="22"/>
      <c r="E397" s="22"/>
      <c r="F397" s="17"/>
    </row>
    <row r="398" customFormat="false" ht="15" hidden="false" customHeight="false" outlineLevel="0" collapsed="false">
      <c r="A398" s="17"/>
      <c r="B398" s="18"/>
      <c r="C398" s="17"/>
      <c r="D398" s="22"/>
      <c r="E398" s="22"/>
      <c r="F398" s="17"/>
    </row>
    <row r="399" customFormat="false" ht="15" hidden="false" customHeight="false" outlineLevel="0" collapsed="false">
      <c r="A399" s="17"/>
      <c r="B399" s="18"/>
      <c r="C399" s="17"/>
      <c r="D399" s="22"/>
      <c r="E399" s="22"/>
      <c r="F399" s="17"/>
    </row>
    <row r="400" customFormat="false" ht="15" hidden="false" customHeight="false" outlineLevel="0" collapsed="false">
      <c r="A400" s="17"/>
      <c r="B400" s="18"/>
      <c r="C400" s="17"/>
      <c r="D400" s="22"/>
      <c r="E400" s="22"/>
      <c r="F400" s="17"/>
    </row>
    <row r="401" customFormat="false" ht="15" hidden="false" customHeight="false" outlineLevel="0" collapsed="false">
      <c r="A401" s="17"/>
      <c r="B401" s="18"/>
      <c r="C401" s="17"/>
      <c r="D401" s="22"/>
      <c r="E401" s="22"/>
      <c r="F401" s="17"/>
    </row>
    <row r="402" customFormat="false" ht="15" hidden="false" customHeight="false" outlineLevel="0" collapsed="false">
      <c r="A402" s="17"/>
      <c r="B402" s="18"/>
      <c r="C402" s="17"/>
      <c r="D402" s="22"/>
      <c r="E402" s="22"/>
      <c r="F402" s="17"/>
    </row>
    <row r="403" customFormat="false" ht="15" hidden="false" customHeight="false" outlineLevel="0" collapsed="false">
      <c r="A403" s="17"/>
      <c r="B403" s="18"/>
      <c r="C403" s="17"/>
      <c r="D403" s="22"/>
      <c r="E403" s="22"/>
      <c r="F403" s="17"/>
    </row>
    <row r="404" customFormat="false" ht="15" hidden="false" customHeight="false" outlineLevel="0" collapsed="false">
      <c r="A404" s="17"/>
      <c r="B404" s="18"/>
      <c r="C404" s="17"/>
      <c r="D404" s="22"/>
      <c r="E404" s="22"/>
      <c r="F404" s="17"/>
    </row>
    <row r="405" customFormat="false" ht="15" hidden="false" customHeight="false" outlineLevel="0" collapsed="false">
      <c r="A405" s="17"/>
      <c r="B405" s="18"/>
      <c r="C405" s="17"/>
      <c r="D405" s="22"/>
      <c r="E405" s="22"/>
      <c r="F405" s="17"/>
    </row>
    <row r="406" customFormat="false" ht="15" hidden="false" customHeight="false" outlineLevel="0" collapsed="false">
      <c r="A406" s="17"/>
      <c r="B406" s="18"/>
      <c r="C406" s="17"/>
      <c r="D406" s="22"/>
      <c r="E406" s="22"/>
      <c r="F406" s="17"/>
    </row>
    <row r="407" customFormat="false" ht="15" hidden="false" customHeight="false" outlineLevel="0" collapsed="false">
      <c r="A407" s="17"/>
      <c r="B407" s="18"/>
      <c r="C407" s="17"/>
      <c r="D407" s="22"/>
      <c r="E407" s="22"/>
      <c r="F407" s="17"/>
    </row>
    <row r="408" customFormat="false" ht="15" hidden="false" customHeight="false" outlineLevel="0" collapsed="false">
      <c r="A408" s="17"/>
      <c r="B408" s="18"/>
      <c r="C408" s="17"/>
      <c r="D408" s="22"/>
      <c r="E408" s="22"/>
      <c r="F408" s="17"/>
    </row>
    <row r="409" customFormat="false" ht="15" hidden="false" customHeight="false" outlineLevel="0" collapsed="false">
      <c r="A409" s="17"/>
      <c r="B409" s="18"/>
      <c r="C409" s="17"/>
      <c r="D409" s="22"/>
      <c r="E409" s="22"/>
      <c r="F409" s="17"/>
    </row>
    <row r="410" customFormat="false" ht="15" hidden="false" customHeight="false" outlineLevel="0" collapsed="false">
      <c r="A410" s="17"/>
      <c r="B410" s="18"/>
      <c r="C410" s="17"/>
      <c r="D410" s="22"/>
      <c r="E410" s="22"/>
      <c r="F410" s="17"/>
    </row>
    <row r="411" customFormat="false" ht="15" hidden="false" customHeight="false" outlineLevel="0" collapsed="false">
      <c r="A411" s="17"/>
      <c r="B411" s="18"/>
      <c r="C411" s="17"/>
      <c r="D411" s="22"/>
      <c r="E411" s="22"/>
      <c r="F411" s="17"/>
    </row>
    <row r="412" customFormat="false" ht="15" hidden="false" customHeight="false" outlineLevel="0" collapsed="false">
      <c r="A412" s="17"/>
      <c r="B412" s="18"/>
      <c r="C412" s="17"/>
      <c r="D412" s="22"/>
      <c r="E412" s="22"/>
      <c r="F412" s="17"/>
    </row>
    <row r="413" customFormat="false" ht="15" hidden="false" customHeight="false" outlineLevel="0" collapsed="false">
      <c r="A413" s="17"/>
      <c r="B413" s="18"/>
      <c r="C413" s="17"/>
      <c r="D413" s="22"/>
      <c r="E413" s="22"/>
      <c r="F413" s="17"/>
    </row>
    <row r="414" customFormat="false" ht="15" hidden="false" customHeight="false" outlineLevel="0" collapsed="false">
      <c r="A414" s="17"/>
      <c r="B414" s="18"/>
      <c r="C414" s="17"/>
      <c r="D414" s="22"/>
      <c r="E414" s="22"/>
      <c r="F414" s="17"/>
    </row>
    <row r="415" customFormat="false" ht="15" hidden="false" customHeight="false" outlineLevel="0" collapsed="false">
      <c r="A415" s="17"/>
      <c r="B415" s="18"/>
      <c r="C415" s="17"/>
      <c r="D415" s="22"/>
      <c r="E415" s="22"/>
      <c r="F415" s="17"/>
    </row>
    <row r="416" customFormat="false" ht="15" hidden="false" customHeight="false" outlineLevel="0" collapsed="false">
      <c r="A416" s="17"/>
      <c r="B416" s="18"/>
      <c r="C416" s="17"/>
      <c r="D416" s="22"/>
      <c r="E416" s="22"/>
      <c r="F416" s="17"/>
    </row>
    <row r="417" customFormat="false" ht="15" hidden="false" customHeight="false" outlineLevel="0" collapsed="false">
      <c r="A417" s="17"/>
      <c r="B417" s="18"/>
      <c r="C417" s="17"/>
      <c r="D417" s="22"/>
      <c r="E417" s="22"/>
      <c r="F417" s="17"/>
    </row>
    <row r="418" customFormat="false" ht="15" hidden="false" customHeight="false" outlineLevel="0" collapsed="false">
      <c r="A418" s="17"/>
      <c r="B418" s="18"/>
      <c r="C418" s="17"/>
      <c r="D418" s="22"/>
      <c r="E418" s="22"/>
      <c r="F418" s="17"/>
    </row>
    <row r="419" customFormat="false" ht="15" hidden="false" customHeight="false" outlineLevel="0" collapsed="false">
      <c r="A419" s="17"/>
      <c r="B419" s="18"/>
      <c r="C419" s="17"/>
      <c r="D419" s="22"/>
      <c r="E419" s="22"/>
      <c r="F419" s="17"/>
    </row>
    <row r="420" customFormat="false" ht="15" hidden="false" customHeight="false" outlineLevel="0" collapsed="false">
      <c r="A420" s="17"/>
      <c r="B420" s="18"/>
      <c r="C420" s="17"/>
      <c r="D420" s="22"/>
      <c r="E420" s="22"/>
      <c r="F420" s="17"/>
    </row>
    <row r="421" customFormat="false" ht="15" hidden="false" customHeight="false" outlineLevel="0" collapsed="false">
      <c r="A421" s="17"/>
      <c r="B421" s="18"/>
      <c r="C421" s="17"/>
      <c r="D421" s="22"/>
      <c r="E421" s="22"/>
      <c r="F421" s="17"/>
    </row>
    <row r="422" customFormat="false" ht="15" hidden="false" customHeight="false" outlineLevel="0" collapsed="false">
      <c r="A422" s="17"/>
      <c r="B422" s="18"/>
      <c r="C422" s="17"/>
      <c r="D422" s="22"/>
      <c r="E422" s="22"/>
      <c r="F422" s="17"/>
    </row>
    <row r="423" customFormat="false" ht="15" hidden="false" customHeight="false" outlineLevel="0" collapsed="false">
      <c r="A423" s="17"/>
      <c r="B423" s="18"/>
      <c r="C423" s="17"/>
      <c r="D423" s="22"/>
      <c r="E423" s="22"/>
      <c r="F423" s="17"/>
    </row>
    <row r="424" customFormat="false" ht="15" hidden="false" customHeight="false" outlineLevel="0" collapsed="false">
      <c r="A424" s="17"/>
      <c r="B424" s="18"/>
      <c r="C424" s="17"/>
      <c r="D424" s="22"/>
      <c r="E424" s="22"/>
      <c r="F424" s="17"/>
    </row>
    <row r="425" customFormat="false" ht="15" hidden="false" customHeight="false" outlineLevel="0" collapsed="false">
      <c r="A425" s="17"/>
      <c r="B425" s="18"/>
      <c r="C425" s="17"/>
      <c r="D425" s="22"/>
      <c r="E425" s="22"/>
      <c r="F425" s="17"/>
    </row>
    <row r="426" customFormat="false" ht="15" hidden="false" customHeight="false" outlineLevel="0" collapsed="false">
      <c r="A426" s="17"/>
      <c r="B426" s="18"/>
      <c r="C426" s="17"/>
      <c r="D426" s="22"/>
      <c r="E426" s="22"/>
      <c r="F426" s="17"/>
    </row>
    <row r="427" customFormat="false" ht="15" hidden="false" customHeight="false" outlineLevel="0" collapsed="false">
      <c r="A427" s="17"/>
      <c r="B427" s="18"/>
      <c r="C427" s="17"/>
      <c r="D427" s="22"/>
      <c r="E427" s="22"/>
      <c r="F427" s="17"/>
    </row>
    <row r="428" customFormat="false" ht="15" hidden="false" customHeight="false" outlineLevel="0" collapsed="false">
      <c r="A428" s="17"/>
      <c r="B428" s="18"/>
      <c r="C428" s="17"/>
      <c r="D428" s="22"/>
      <c r="E428" s="22"/>
      <c r="F428" s="17"/>
    </row>
    <row r="429" customFormat="false" ht="15" hidden="false" customHeight="false" outlineLevel="0" collapsed="false">
      <c r="A429" s="17"/>
      <c r="B429" s="18"/>
      <c r="C429" s="17"/>
      <c r="D429" s="22"/>
      <c r="E429" s="22"/>
      <c r="F429" s="17"/>
    </row>
    <row r="430" customFormat="false" ht="15" hidden="false" customHeight="false" outlineLevel="0" collapsed="false">
      <c r="A430" s="17"/>
      <c r="B430" s="18"/>
      <c r="C430" s="17"/>
      <c r="D430" s="22"/>
      <c r="E430" s="22"/>
      <c r="F430" s="17"/>
    </row>
    <row r="431" customFormat="false" ht="15" hidden="false" customHeight="false" outlineLevel="0" collapsed="false">
      <c r="A431" s="17"/>
      <c r="B431" s="18"/>
      <c r="C431" s="17"/>
      <c r="D431" s="22"/>
      <c r="E431" s="22"/>
      <c r="F431" s="17"/>
    </row>
    <row r="432" customFormat="false" ht="15" hidden="false" customHeight="false" outlineLevel="0" collapsed="false">
      <c r="A432" s="17"/>
      <c r="B432" s="18"/>
      <c r="C432" s="17"/>
      <c r="D432" s="22"/>
      <c r="E432" s="22"/>
      <c r="F432" s="17"/>
    </row>
    <row r="433" customFormat="false" ht="15" hidden="false" customHeight="false" outlineLevel="0" collapsed="false">
      <c r="A433" s="17"/>
      <c r="B433" s="18"/>
      <c r="C433" s="17"/>
      <c r="D433" s="22"/>
      <c r="E433" s="22"/>
      <c r="F433" s="17"/>
    </row>
    <row r="434" customFormat="false" ht="15" hidden="false" customHeight="false" outlineLevel="0" collapsed="false">
      <c r="A434" s="17"/>
      <c r="B434" s="18"/>
      <c r="C434" s="17"/>
      <c r="D434" s="22"/>
      <c r="E434" s="22"/>
      <c r="F434" s="17"/>
    </row>
    <row r="435" customFormat="false" ht="15" hidden="false" customHeight="false" outlineLevel="0" collapsed="false">
      <c r="A435" s="17"/>
      <c r="B435" s="18"/>
      <c r="C435" s="17"/>
      <c r="D435" s="22"/>
      <c r="E435" s="22"/>
      <c r="F435" s="17"/>
    </row>
    <row r="436" customFormat="false" ht="15" hidden="false" customHeight="false" outlineLevel="0" collapsed="false">
      <c r="A436" s="17"/>
      <c r="B436" s="18"/>
      <c r="C436" s="17"/>
      <c r="D436" s="22"/>
      <c r="E436" s="22"/>
      <c r="F436" s="17"/>
    </row>
    <row r="437" customFormat="false" ht="15" hidden="false" customHeight="false" outlineLevel="0" collapsed="false">
      <c r="A437" s="17"/>
      <c r="B437" s="18"/>
      <c r="C437" s="17"/>
      <c r="D437" s="22"/>
      <c r="E437" s="22"/>
      <c r="F437" s="17"/>
    </row>
    <row r="438" customFormat="false" ht="15" hidden="false" customHeight="false" outlineLevel="0" collapsed="false">
      <c r="A438" s="17"/>
      <c r="B438" s="18"/>
      <c r="C438" s="17"/>
      <c r="D438" s="22"/>
      <c r="E438" s="22"/>
      <c r="F438" s="17"/>
    </row>
    <row r="439" customFormat="false" ht="15" hidden="false" customHeight="false" outlineLevel="0" collapsed="false">
      <c r="A439" s="17"/>
      <c r="B439" s="18"/>
      <c r="C439" s="17"/>
      <c r="D439" s="22"/>
      <c r="E439" s="22"/>
      <c r="F439" s="17"/>
    </row>
    <row r="440" customFormat="false" ht="15" hidden="false" customHeight="false" outlineLevel="0" collapsed="false">
      <c r="A440" s="17"/>
      <c r="B440" s="18"/>
      <c r="C440" s="17"/>
      <c r="D440" s="22"/>
      <c r="E440" s="22"/>
      <c r="F440" s="17"/>
    </row>
    <row r="441" customFormat="false" ht="15" hidden="false" customHeight="false" outlineLevel="0" collapsed="false">
      <c r="A441" s="17"/>
      <c r="B441" s="18"/>
      <c r="C441" s="17"/>
      <c r="D441" s="22"/>
      <c r="E441" s="22"/>
      <c r="F441" s="17"/>
    </row>
    <row r="442" customFormat="false" ht="15" hidden="false" customHeight="false" outlineLevel="0" collapsed="false">
      <c r="A442" s="17"/>
      <c r="B442" s="18"/>
      <c r="C442" s="17"/>
      <c r="D442" s="22"/>
      <c r="E442" s="22"/>
      <c r="F442" s="17"/>
    </row>
    <row r="443" customFormat="false" ht="15" hidden="false" customHeight="false" outlineLevel="0" collapsed="false">
      <c r="A443" s="17"/>
      <c r="B443" s="18"/>
      <c r="C443" s="17"/>
      <c r="D443" s="22"/>
      <c r="E443" s="22"/>
      <c r="F443" s="17"/>
    </row>
    <row r="444" customFormat="false" ht="15" hidden="false" customHeight="false" outlineLevel="0" collapsed="false">
      <c r="A444" s="17"/>
      <c r="B444" s="18"/>
      <c r="C444" s="17"/>
      <c r="D444" s="22"/>
      <c r="E444" s="22"/>
      <c r="F444" s="17"/>
    </row>
    <row r="445" customFormat="false" ht="15" hidden="false" customHeight="false" outlineLevel="0" collapsed="false">
      <c r="A445" s="17"/>
      <c r="B445" s="18"/>
      <c r="C445" s="17"/>
      <c r="D445" s="22"/>
      <c r="E445" s="22"/>
      <c r="F445" s="17"/>
    </row>
    <row r="446" customFormat="false" ht="15" hidden="false" customHeight="false" outlineLevel="0" collapsed="false">
      <c r="A446" s="17"/>
      <c r="B446" s="18"/>
      <c r="C446" s="17"/>
      <c r="D446" s="22"/>
      <c r="E446" s="22"/>
      <c r="F446" s="17"/>
    </row>
    <row r="447" customFormat="false" ht="15" hidden="false" customHeight="false" outlineLevel="0" collapsed="false">
      <c r="A447" s="17"/>
      <c r="B447" s="18"/>
      <c r="C447" s="17"/>
      <c r="D447" s="22"/>
      <c r="E447" s="22"/>
      <c r="F447" s="17"/>
    </row>
    <row r="448" customFormat="false" ht="15" hidden="false" customHeight="false" outlineLevel="0" collapsed="false">
      <c r="A448" s="17"/>
      <c r="B448" s="18"/>
      <c r="C448" s="17"/>
      <c r="D448" s="22"/>
      <c r="E448" s="22"/>
      <c r="F448" s="17"/>
    </row>
    <row r="449" customFormat="false" ht="15" hidden="false" customHeight="false" outlineLevel="0" collapsed="false">
      <c r="A449" s="17"/>
      <c r="B449" s="18"/>
      <c r="C449" s="17"/>
      <c r="D449" s="22"/>
      <c r="E449" s="22"/>
      <c r="F449" s="17"/>
    </row>
    <row r="450" customFormat="false" ht="15" hidden="false" customHeight="false" outlineLevel="0" collapsed="false">
      <c r="A450" s="17"/>
      <c r="B450" s="18"/>
      <c r="C450" s="17"/>
      <c r="D450" s="22"/>
      <c r="E450" s="22"/>
      <c r="F450" s="17"/>
    </row>
    <row r="451" customFormat="false" ht="15" hidden="false" customHeight="false" outlineLevel="0" collapsed="false">
      <c r="A451" s="17"/>
      <c r="B451" s="18"/>
      <c r="C451" s="17"/>
      <c r="D451" s="22"/>
      <c r="E451" s="22"/>
      <c r="F451" s="17"/>
    </row>
    <row r="452" customFormat="false" ht="15" hidden="false" customHeight="false" outlineLevel="0" collapsed="false">
      <c r="A452" s="17"/>
      <c r="B452" s="18"/>
      <c r="C452" s="17"/>
      <c r="D452" s="22"/>
      <c r="E452" s="22"/>
      <c r="F452" s="17"/>
    </row>
    <row r="453" customFormat="false" ht="15" hidden="false" customHeight="false" outlineLevel="0" collapsed="false">
      <c r="A453" s="17"/>
      <c r="B453" s="18"/>
      <c r="C453" s="17"/>
      <c r="D453" s="22"/>
      <c r="E453" s="22"/>
      <c r="F453" s="17"/>
    </row>
    <row r="454" customFormat="false" ht="15" hidden="false" customHeight="false" outlineLevel="0" collapsed="false">
      <c r="A454" s="17"/>
      <c r="B454" s="18"/>
      <c r="C454" s="17"/>
      <c r="D454" s="22"/>
      <c r="E454" s="22"/>
      <c r="F454" s="17"/>
    </row>
    <row r="455" customFormat="false" ht="15" hidden="false" customHeight="false" outlineLevel="0" collapsed="false">
      <c r="A455" s="17"/>
      <c r="B455" s="18"/>
      <c r="C455" s="17"/>
      <c r="D455" s="22"/>
      <c r="E455" s="22"/>
      <c r="F455" s="17"/>
    </row>
    <row r="456" customFormat="false" ht="15" hidden="false" customHeight="false" outlineLevel="0" collapsed="false">
      <c r="A456" s="17"/>
      <c r="B456" s="18"/>
      <c r="C456" s="17"/>
      <c r="D456" s="22"/>
      <c r="E456" s="22"/>
      <c r="F456" s="17"/>
    </row>
    <row r="457" customFormat="false" ht="15" hidden="false" customHeight="false" outlineLevel="0" collapsed="false">
      <c r="A457" s="17"/>
      <c r="B457" s="18"/>
      <c r="C457" s="17"/>
      <c r="D457" s="22"/>
      <c r="E457" s="22"/>
      <c r="F457" s="17"/>
    </row>
    <row r="458" customFormat="false" ht="15" hidden="false" customHeight="false" outlineLevel="0" collapsed="false">
      <c r="A458" s="17"/>
      <c r="B458" s="18"/>
      <c r="C458" s="17"/>
      <c r="D458" s="22"/>
      <c r="E458" s="22"/>
      <c r="F458" s="17"/>
    </row>
    <row r="459" customFormat="false" ht="15" hidden="false" customHeight="false" outlineLevel="0" collapsed="false">
      <c r="A459" s="17"/>
      <c r="B459" s="18"/>
      <c r="C459" s="17"/>
      <c r="D459" s="22"/>
      <c r="E459" s="22"/>
      <c r="F459" s="17"/>
    </row>
    <row r="460" customFormat="false" ht="15" hidden="false" customHeight="false" outlineLevel="0" collapsed="false">
      <c r="A460" s="17"/>
      <c r="B460" s="18"/>
      <c r="C460" s="17"/>
      <c r="D460" s="22"/>
      <c r="E460" s="22"/>
      <c r="F460" s="17"/>
    </row>
    <row r="461" customFormat="false" ht="15" hidden="false" customHeight="false" outlineLevel="0" collapsed="false">
      <c r="A461" s="17"/>
      <c r="B461" s="18"/>
      <c r="C461" s="17"/>
      <c r="D461" s="22"/>
      <c r="E461" s="22"/>
      <c r="F461" s="17"/>
    </row>
    <row r="462" customFormat="false" ht="15" hidden="false" customHeight="false" outlineLevel="0" collapsed="false">
      <c r="A462" s="17"/>
      <c r="B462" s="18"/>
      <c r="C462" s="17"/>
      <c r="D462" s="22"/>
      <c r="E462" s="22"/>
      <c r="F462" s="17"/>
    </row>
    <row r="463" customFormat="false" ht="15" hidden="false" customHeight="false" outlineLevel="0" collapsed="false">
      <c r="A463" s="17"/>
      <c r="B463" s="18"/>
      <c r="C463" s="17"/>
      <c r="D463" s="22"/>
      <c r="E463" s="22"/>
      <c r="F463" s="17"/>
    </row>
    <row r="464" customFormat="false" ht="15" hidden="false" customHeight="false" outlineLevel="0" collapsed="false">
      <c r="A464" s="17"/>
      <c r="B464" s="18"/>
      <c r="C464" s="17"/>
      <c r="D464" s="22"/>
      <c r="E464" s="22"/>
      <c r="F464" s="17"/>
    </row>
    <row r="465" customFormat="false" ht="15" hidden="false" customHeight="false" outlineLevel="0" collapsed="false">
      <c r="A465" s="17"/>
      <c r="B465" s="18"/>
      <c r="C465" s="17"/>
      <c r="D465" s="22"/>
      <c r="E465" s="22"/>
      <c r="F465" s="17"/>
    </row>
    <row r="466" customFormat="false" ht="15" hidden="false" customHeight="false" outlineLevel="0" collapsed="false">
      <c r="A466" s="17"/>
      <c r="B466" s="18"/>
      <c r="C466" s="17"/>
      <c r="D466" s="22"/>
      <c r="E466" s="22"/>
      <c r="F466" s="17"/>
    </row>
    <row r="467" customFormat="false" ht="15" hidden="false" customHeight="false" outlineLevel="0" collapsed="false">
      <c r="A467" s="17"/>
      <c r="B467" s="18"/>
      <c r="C467" s="17"/>
      <c r="D467" s="22"/>
      <c r="E467" s="22"/>
      <c r="F467" s="17"/>
    </row>
    <row r="468" customFormat="false" ht="15" hidden="false" customHeight="false" outlineLevel="0" collapsed="false">
      <c r="A468" s="17"/>
      <c r="B468" s="18"/>
      <c r="C468" s="17"/>
      <c r="D468" s="22"/>
      <c r="E468" s="22"/>
      <c r="F468" s="17"/>
    </row>
    <row r="469" customFormat="false" ht="15" hidden="false" customHeight="false" outlineLevel="0" collapsed="false">
      <c r="A469" s="17"/>
      <c r="B469" s="18"/>
      <c r="C469" s="17"/>
      <c r="D469" s="22"/>
      <c r="E469" s="22"/>
      <c r="F469" s="17"/>
    </row>
    <row r="470" customFormat="false" ht="15" hidden="false" customHeight="false" outlineLevel="0" collapsed="false">
      <c r="A470" s="17"/>
      <c r="B470" s="18"/>
      <c r="C470" s="17"/>
      <c r="D470" s="22"/>
      <c r="E470" s="22"/>
      <c r="F470" s="17"/>
    </row>
    <row r="471" customFormat="false" ht="15" hidden="false" customHeight="false" outlineLevel="0" collapsed="false">
      <c r="A471" s="17"/>
      <c r="B471" s="18"/>
      <c r="C471" s="17"/>
      <c r="D471" s="22"/>
      <c r="E471" s="22"/>
      <c r="F471" s="17"/>
    </row>
    <row r="472" customFormat="false" ht="15" hidden="false" customHeight="false" outlineLevel="0" collapsed="false">
      <c r="A472" s="17"/>
      <c r="B472" s="18"/>
      <c r="C472" s="17"/>
      <c r="D472" s="22"/>
      <c r="E472" s="22"/>
      <c r="F472" s="17"/>
    </row>
    <row r="473" customFormat="false" ht="15" hidden="false" customHeight="false" outlineLevel="0" collapsed="false">
      <c r="A473" s="17"/>
      <c r="B473" s="18"/>
      <c r="C473" s="17"/>
      <c r="D473" s="22"/>
      <c r="E473" s="22"/>
      <c r="F473" s="17"/>
    </row>
    <row r="474" customFormat="false" ht="15" hidden="false" customHeight="false" outlineLevel="0" collapsed="false">
      <c r="A474" s="17"/>
      <c r="B474" s="18"/>
      <c r="C474" s="17"/>
      <c r="D474" s="22"/>
      <c r="E474" s="22"/>
      <c r="F474" s="17"/>
    </row>
    <row r="475" customFormat="false" ht="15" hidden="false" customHeight="false" outlineLevel="0" collapsed="false">
      <c r="A475" s="17"/>
      <c r="B475" s="18"/>
      <c r="C475" s="17"/>
      <c r="D475" s="22"/>
      <c r="E475" s="22"/>
      <c r="F475" s="17"/>
    </row>
    <row r="476" customFormat="false" ht="15" hidden="false" customHeight="false" outlineLevel="0" collapsed="false">
      <c r="A476" s="17"/>
      <c r="B476" s="18"/>
      <c r="C476" s="17"/>
      <c r="D476" s="22"/>
      <c r="E476" s="22"/>
      <c r="F476" s="17"/>
    </row>
    <row r="477" customFormat="false" ht="15" hidden="false" customHeight="false" outlineLevel="0" collapsed="false">
      <c r="A477" s="17"/>
      <c r="B477" s="18"/>
      <c r="C477" s="17"/>
      <c r="D477" s="22"/>
      <c r="E477" s="22"/>
      <c r="F477" s="17"/>
    </row>
    <row r="478" customFormat="false" ht="15" hidden="false" customHeight="false" outlineLevel="0" collapsed="false">
      <c r="A478" s="17"/>
      <c r="B478" s="18"/>
      <c r="C478" s="17"/>
      <c r="D478" s="22"/>
      <c r="E478" s="22"/>
      <c r="F478" s="17"/>
    </row>
    <row r="479" customFormat="false" ht="15" hidden="false" customHeight="false" outlineLevel="0" collapsed="false">
      <c r="A479" s="17"/>
      <c r="B479" s="18"/>
      <c r="C479" s="17"/>
      <c r="D479" s="22"/>
      <c r="E479" s="22"/>
      <c r="F479" s="17"/>
    </row>
    <row r="480" customFormat="false" ht="15" hidden="false" customHeight="false" outlineLevel="0" collapsed="false">
      <c r="A480" s="17"/>
      <c r="B480" s="18"/>
      <c r="C480" s="17"/>
      <c r="D480" s="22"/>
      <c r="E480" s="22"/>
      <c r="F480" s="17"/>
    </row>
    <row r="481" customFormat="false" ht="15" hidden="false" customHeight="false" outlineLevel="0" collapsed="false">
      <c r="A481" s="17"/>
      <c r="B481" s="18"/>
      <c r="C481" s="17"/>
      <c r="D481" s="22"/>
      <c r="E481" s="22"/>
      <c r="F481" s="17"/>
    </row>
    <row r="482" customFormat="false" ht="15" hidden="false" customHeight="false" outlineLevel="0" collapsed="false">
      <c r="A482" s="17"/>
      <c r="B482" s="18"/>
      <c r="C482" s="17"/>
      <c r="D482" s="22"/>
      <c r="E482" s="22"/>
      <c r="F482" s="17"/>
    </row>
    <row r="483" customFormat="false" ht="15" hidden="false" customHeight="false" outlineLevel="0" collapsed="false">
      <c r="A483" s="17"/>
      <c r="B483" s="18"/>
      <c r="C483" s="17"/>
      <c r="D483" s="22"/>
      <c r="E483" s="22"/>
      <c r="F483" s="17"/>
    </row>
    <row r="484" customFormat="false" ht="15" hidden="false" customHeight="false" outlineLevel="0" collapsed="false">
      <c r="A484" s="17"/>
      <c r="B484" s="18"/>
      <c r="C484" s="17"/>
      <c r="D484" s="22"/>
      <c r="E484" s="22"/>
      <c r="F484" s="17"/>
    </row>
    <row r="485" customFormat="false" ht="15" hidden="false" customHeight="false" outlineLevel="0" collapsed="false">
      <c r="A485" s="17"/>
      <c r="B485" s="18"/>
      <c r="C485" s="17"/>
      <c r="D485" s="22"/>
      <c r="E485" s="22"/>
      <c r="F485" s="17"/>
    </row>
    <row r="486" customFormat="false" ht="15" hidden="false" customHeight="false" outlineLevel="0" collapsed="false">
      <c r="A486" s="17"/>
      <c r="B486" s="18"/>
      <c r="C486" s="17"/>
      <c r="D486" s="22"/>
      <c r="E486" s="22"/>
      <c r="F486" s="17"/>
    </row>
    <row r="487" customFormat="false" ht="15" hidden="false" customHeight="false" outlineLevel="0" collapsed="false">
      <c r="A487" s="17"/>
      <c r="B487" s="18"/>
      <c r="C487" s="17"/>
      <c r="D487" s="22"/>
      <c r="E487" s="22"/>
      <c r="F487" s="17"/>
    </row>
    <row r="488" customFormat="false" ht="15" hidden="false" customHeight="false" outlineLevel="0" collapsed="false">
      <c r="A488" s="17"/>
      <c r="B488" s="18"/>
      <c r="C488" s="17"/>
      <c r="D488" s="22"/>
      <c r="E488" s="22"/>
      <c r="F488" s="17"/>
    </row>
    <row r="489" customFormat="false" ht="15" hidden="false" customHeight="false" outlineLevel="0" collapsed="false">
      <c r="A489" s="17"/>
      <c r="B489" s="18"/>
      <c r="C489" s="17"/>
      <c r="D489" s="22"/>
      <c r="E489" s="22"/>
      <c r="F489" s="17"/>
    </row>
    <row r="490" customFormat="false" ht="15" hidden="false" customHeight="false" outlineLevel="0" collapsed="false">
      <c r="A490" s="17"/>
      <c r="B490" s="18"/>
      <c r="C490" s="17"/>
      <c r="D490" s="22"/>
      <c r="E490" s="22"/>
      <c r="F490" s="17"/>
    </row>
    <row r="491" customFormat="false" ht="15" hidden="false" customHeight="false" outlineLevel="0" collapsed="false">
      <c r="A491" s="17"/>
      <c r="B491" s="18"/>
      <c r="C491" s="17"/>
      <c r="D491" s="22"/>
      <c r="E491" s="22"/>
      <c r="F491" s="17"/>
    </row>
    <row r="492" customFormat="false" ht="15" hidden="false" customHeight="false" outlineLevel="0" collapsed="false">
      <c r="A492" s="17"/>
      <c r="B492" s="18"/>
      <c r="C492" s="17"/>
      <c r="D492" s="22"/>
      <c r="E492" s="22"/>
      <c r="F492" s="17"/>
    </row>
    <row r="493" customFormat="false" ht="15" hidden="false" customHeight="false" outlineLevel="0" collapsed="false">
      <c r="A493" s="17"/>
      <c r="B493" s="18"/>
      <c r="C493" s="17"/>
      <c r="D493" s="22"/>
      <c r="E493" s="22"/>
      <c r="F493" s="17"/>
    </row>
    <row r="494" customFormat="false" ht="15" hidden="false" customHeight="false" outlineLevel="0" collapsed="false">
      <c r="A494" s="17"/>
      <c r="B494" s="18"/>
      <c r="C494" s="17"/>
      <c r="D494" s="22"/>
      <c r="E494" s="22"/>
      <c r="F494" s="17"/>
    </row>
    <row r="495" customFormat="false" ht="15" hidden="false" customHeight="false" outlineLevel="0" collapsed="false">
      <c r="A495" s="17"/>
      <c r="B495" s="18"/>
      <c r="C495" s="17"/>
      <c r="D495" s="22"/>
      <c r="E495" s="22"/>
      <c r="F495" s="17"/>
    </row>
    <row r="496" customFormat="false" ht="15" hidden="false" customHeight="false" outlineLevel="0" collapsed="false">
      <c r="A496" s="17"/>
      <c r="B496" s="18"/>
      <c r="C496" s="17"/>
      <c r="D496" s="22"/>
      <c r="E496" s="22"/>
      <c r="F496" s="17"/>
    </row>
    <row r="497" customFormat="false" ht="15" hidden="false" customHeight="false" outlineLevel="0" collapsed="false">
      <c r="A497" s="17"/>
      <c r="B497" s="18"/>
      <c r="C497" s="17"/>
      <c r="D497" s="22"/>
      <c r="E497" s="22"/>
      <c r="F497" s="17"/>
    </row>
    <row r="498" customFormat="false" ht="15" hidden="false" customHeight="false" outlineLevel="0" collapsed="false">
      <c r="A498" s="17"/>
      <c r="B498" s="18"/>
      <c r="C498" s="17"/>
      <c r="D498" s="22"/>
      <c r="E498" s="22"/>
      <c r="F498" s="17"/>
    </row>
    <row r="499" customFormat="false" ht="15" hidden="false" customHeight="false" outlineLevel="0" collapsed="false">
      <c r="A499" s="17"/>
      <c r="B499" s="18"/>
      <c r="C499" s="17"/>
      <c r="D499" s="22"/>
      <c r="E499" s="22"/>
      <c r="F499" s="17"/>
    </row>
    <row r="500" customFormat="false" ht="15" hidden="false" customHeight="false" outlineLevel="0" collapsed="false">
      <c r="A500" s="17"/>
      <c r="B500" s="18"/>
      <c r="C500" s="17"/>
      <c r="D500" s="22"/>
      <c r="E500" s="22"/>
      <c r="F500" s="17"/>
    </row>
    <row r="501" customFormat="false" ht="15" hidden="false" customHeight="false" outlineLevel="0" collapsed="false">
      <c r="A501" s="17"/>
      <c r="B501" s="18"/>
      <c r="C501" s="17"/>
      <c r="D501" s="22"/>
      <c r="E501" s="22"/>
      <c r="F501" s="17"/>
    </row>
    <row r="502" customFormat="false" ht="15" hidden="false" customHeight="false" outlineLevel="0" collapsed="false">
      <c r="A502" s="17"/>
      <c r="B502" s="18"/>
      <c r="C502" s="17"/>
      <c r="D502" s="22"/>
      <c r="E502" s="22"/>
      <c r="F502" s="17"/>
    </row>
    <row r="503" customFormat="false" ht="15" hidden="false" customHeight="false" outlineLevel="0" collapsed="false">
      <c r="A503" s="17"/>
      <c r="B503" s="18"/>
      <c r="C503" s="17"/>
      <c r="D503" s="22"/>
      <c r="E503" s="22"/>
      <c r="F503" s="17"/>
    </row>
    <row r="504" customFormat="false" ht="15" hidden="false" customHeight="false" outlineLevel="0" collapsed="false">
      <c r="A504" s="17"/>
      <c r="B504" s="18"/>
      <c r="C504" s="17"/>
      <c r="D504" s="22"/>
      <c r="E504" s="22"/>
      <c r="F504" s="17"/>
    </row>
    <row r="505" customFormat="false" ht="15" hidden="false" customHeight="false" outlineLevel="0" collapsed="false">
      <c r="A505" s="17"/>
      <c r="B505" s="18"/>
      <c r="C505" s="17"/>
      <c r="D505" s="22"/>
      <c r="E505" s="22"/>
      <c r="F505" s="17"/>
    </row>
  </sheetData>
  <dataValidations count="2">
    <dataValidation allowBlank="true" error="Informe um número maior ou igual a zero." errorStyle="stop" errorTitle="Valor inválido" operator="greaterThanOrEqual" showDropDown="false" showErrorMessage="true" showInputMessage="false" sqref="D6:E505" type="decimal">
      <formula1>0</formula1>
      <formula2>0</formula2>
    </dataValidation>
    <dataValidation allowBlank="true" error="Informe 11 dígitos (CPF) ou 14 dígitos (CNPJ). Pontos, traço e barra são aceitos." errorStyle="stop" errorTitle="CPF/CNPJ inválido" operator="between" showDropDown="false" showErrorMessage="true" showInputMessage="false" sqref="B6:B505" type="custom">
      <formula1>AND(ISNUMBER(--SUBSTITUTE(SUBSTITUTE(SUBSTITUTE(B6,".",""),"-",""),"/","")),OR(LEN(SUBSTITUTE(SUBSTITUTE(SUBSTITUTE(B6,".",""),"-",""),"/",""))=11,LEN(SUBSTITUTE(SUBSTITUTE(SUBSTITUTE(B6,".",""),"-",""),"/",""))=14))</formula1>
      <formula2>0</formula2>
    </dataValidation>
  </dataValidations>
  <hyperlinks>
    <hyperlink ref="A3" location="'Menu'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7" t="s">
        <v>104</v>
      </c>
    </row>
    <row r="2" customFormat="false" ht="15" hidden="false" customHeight="false" outlineLevel="0" collapsed="false">
      <c r="A2" s="2" t="s">
        <v>105</v>
      </c>
    </row>
    <row r="3" customFormat="false" ht="15" hidden="false" customHeight="false" outlineLevel="0" collapsed="false">
      <c r="A3" s="8" t="s">
        <v>28</v>
      </c>
    </row>
    <row r="5" customFormat="false" ht="15" hidden="false" customHeight="false" outlineLevel="0" collapsed="false">
      <c r="A5" s="24" t="s">
        <v>106</v>
      </c>
      <c r="B5" s="25"/>
      <c r="C5" s="25"/>
    </row>
    <row r="6" customFormat="false" ht="15" hidden="false" customHeight="false" outlineLevel="0" collapsed="false">
      <c r="A6" s="6" t="s">
        <v>107</v>
      </c>
      <c r="B6" s="26" t="n">
        <f aca="false">SUMIFS(Rendimentos!$F$6:$F$505,Rendimentos!$J$6:$J$505,"Tributável")</f>
        <v>0</v>
      </c>
      <c r="C6" s="2"/>
    </row>
    <row r="7" customFormat="false" ht="15" hidden="false" customHeight="false" outlineLevel="0" collapsed="false">
      <c r="A7" s="6" t="s">
        <v>108</v>
      </c>
      <c r="B7" s="26" t="n">
        <f aca="false">SUMIFS(Rendimentos!$F$6:$F$505,Rendimentos!$J$6:$J$505,"Exclusivo na fonte")</f>
        <v>0</v>
      </c>
      <c r="C7" s="2"/>
    </row>
    <row r="8" customFormat="false" ht="15" hidden="false" customHeight="false" outlineLevel="0" collapsed="false">
      <c r="A8" s="6" t="s">
        <v>109</v>
      </c>
      <c r="B8" s="26" t="n">
        <f aca="false">SUMIFS(Rendimentos!$F$6:$F$505,Rendimentos!$J$6:$J$505,"Isento")</f>
        <v>0</v>
      </c>
      <c r="C8" s="2"/>
    </row>
    <row r="9" customFormat="false" ht="15" hidden="false" customHeight="false" outlineLevel="0" collapsed="false">
      <c r="A9" s="6" t="s">
        <v>110</v>
      </c>
      <c r="B9" s="26" t="n">
        <f aca="false">SUM(Rendimentos!$G$6:$G$505)</f>
        <v>0</v>
      </c>
      <c r="C9" s="2"/>
    </row>
    <row r="10" customFormat="false" ht="15" hidden="false" customHeight="false" outlineLevel="0" collapsed="false">
      <c r="A10" s="24" t="s">
        <v>111</v>
      </c>
      <c r="B10" s="25"/>
      <c r="C10" s="25"/>
    </row>
    <row r="11" customFormat="false" ht="15" hidden="false" customHeight="false" outlineLevel="0" collapsed="false">
      <c r="A11" s="6" t="s">
        <v>112</v>
      </c>
      <c r="B11" s="26" t="n">
        <f aca="false">SUM(Rendimentos!$H$6:$H$505)</f>
        <v>0</v>
      </c>
      <c r="C11" s="2"/>
    </row>
    <row r="12" customFormat="false" ht="15" hidden="false" customHeight="false" outlineLevel="0" collapsed="false">
      <c r="A12" s="6" t="s">
        <v>113</v>
      </c>
      <c r="B12" s="26" t="n">
        <f aca="false">SUMIFS(Deducoes!$H$6:$H$505,Deducoes!$B$6:$B$505,"Saúde")</f>
        <v>0</v>
      </c>
      <c r="C12" s="2" t="s">
        <v>114</v>
      </c>
    </row>
    <row r="13" customFormat="false" ht="15" hidden="false" customHeight="false" outlineLevel="0" collapsed="false">
      <c r="A13" s="6" t="s">
        <v>115</v>
      </c>
      <c r="B13" s="26" t="n">
        <f aca="false">SUMIFS(Deducoes!$H$6:$H$505,Deducoes!$B$6:$B$505,"Educação")</f>
        <v>0</v>
      </c>
      <c r="C13" s="2"/>
    </row>
    <row r="14" customFormat="false" ht="15" hidden="false" customHeight="false" outlineLevel="0" collapsed="false">
      <c r="A14" s="6" t="s">
        <v>116</v>
      </c>
      <c r="B14" s="27" t="n">
        <f aca="false">COUNTIFS(Dependentes!$A$6:$A$35,"&lt;&gt;",Dependentes!$E$6:$E$35,"Sim")</f>
        <v>0</v>
      </c>
      <c r="C14" s="2"/>
    </row>
    <row r="15" customFormat="false" ht="15" hidden="false" customHeight="false" outlineLevel="0" collapsed="false">
      <c r="A15" s="6" t="s">
        <v>117</v>
      </c>
      <c r="B15" s="26" t="n">
        <f aca="false">MIN(B13,Parametros!B7*(1+B14))</f>
        <v>0</v>
      </c>
      <c r="C15" s="2" t="s">
        <v>118</v>
      </c>
    </row>
    <row r="16" customFormat="false" ht="15" hidden="false" customHeight="false" outlineLevel="0" collapsed="false">
      <c r="A16" s="6" t="s">
        <v>119</v>
      </c>
      <c r="B16" s="26" t="n">
        <f aca="false">B14*Parametros!B6</f>
        <v>0</v>
      </c>
      <c r="C16" s="2"/>
    </row>
    <row r="17" customFormat="false" ht="15" hidden="false" customHeight="false" outlineLevel="0" collapsed="false">
      <c r="A17" s="6" t="s">
        <v>120</v>
      </c>
      <c r="B17" s="26" t="n">
        <f aca="false">MIN(SUMIFS(Deducoes!$H$6:$H$505,Deducoes!$B$6:$B$505,"Previdência privada (PGBL)"),Parametros!B8*B6)</f>
        <v>0</v>
      </c>
      <c r="C17" s="2" t="s">
        <v>121</v>
      </c>
    </row>
    <row r="18" customFormat="false" ht="15" hidden="false" customHeight="false" outlineLevel="0" collapsed="false">
      <c r="A18" s="6" t="s">
        <v>122</v>
      </c>
      <c r="B18" s="26" t="n">
        <f aca="false">SUMIFS(Deducoes!$H$6:$H$505,Deducoes!$B$6:$B$505,"Pensão alimentícia")</f>
        <v>0</v>
      </c>
      <c r="C18" s="2"/>
    </row>
    <row r="19" customFormat="false" ht="15" hidden="false" customHeight="false" outlineLevel="0" collapsed="false">
      <c r="A19" s="6" t="s">
        <v>123</v>
      </c>
      <c r="B19" s="26" t="n">
        <f aca="false">SUMIFS(Deducoes!$H$6:$H$505,Deducoes!$B$6:$B$505,"Livro-caixa")</f>
        <v>0</v>
      </c>
      <c r="C19" s="2"/>
    </row>
    <row r="20" customFormat="false" ht="15" hidden="false" customHeight="false" outlineLevel="0" collapsed="false">
      <c r="A20" s="9" t="s">
        <v>124</v>
      </c>
      <c r="B20" s="28" t="n">
        <f aca="false">B11+B12+B15+B16+B17+B18+B19</f>
        <v>0</v>
      </c>
      <c r="C20" s="2"/>
    </row>
    <row r="21" customFormat="false" ht="15" hidden="false" customHeight="false" outlineLevel="0" collapsed="false">
      <c r="A21" s="24" t="s">
        <v>125</v>
      </c>
      <c r="B21" s="25"/>
      <c r="C21" s="25"/>
    </row>
    <row r="22" customFormat="false" ht="15" hidden="false" customHeight="false" outlineLevel="0" collapsed="false">
      <c r="A22" s="6" t="s">
        <v>126</v>
      </c>
      <c r="B22" s="26" t="n">
        <f aca="false">MAX(0,B6-B20)</f>
        <v>0</v>
      </c>
      <c r="C22" s="2" t="s">
        <v>127</v>
      </c>
    </row>
    <row r="23" customFormat="false" ht="15" hidden="false" customHeight="false" outlineLevel="0" collapsed="false">
      <c r="A23" s="6" t="s">
        <v>128</v>
      </c>
      <c r="B23" s="26" t="n">
        <f aca="false">MIN(B6*Parametros!B9,Parametros!B10)</f>
        <v>0</v>
      </c>
      <c r="C23" s="2" t="s">
        <v>129</v>
      </c>
    </row>
    <row r="24" customFormat="false" ht="15" hidden="false" customHeight="false" outlineLevel="0" collapsed="false">
      <c r="A24" s="6" t="s">
        <v>130</v>
      </c>
      <c r="B24" s="26" t="n">
        <f aca="false">MAX(0,B6-B23)</f>
        <v>0</v>
      </c>
      <c r="C24" s="2"/>
    </row>
    <row r="25" customFormat="false" ht="15" hidden="false" customHeight="false" outlineLevel="0" collapsed="false">
      <c r="A25" s="6" t="s">
        <v>131</v>
      </c>
      <c r="B25" s="29" t="str">
        <f aca="false">IF(B22&lt;=B24,"Completo","Simplificado")</f>
        <v>Completo</v>
      </c>
      <c r="C25" s="2" t="s">
        <v>132</v>
      </c>
    </row>
    <row r="26" customFormat="false" ht="15" hidden="false" customHeight="false" outlineLevel="0" collapsed="false">
      <c r="A26" s="24" t="s">
        <v>133</v>
      </c>
      <c r="B26" s="25"/>
      <c r="C26" s="25"/>
    </row>
    <row r="27" customFormat="false" ht="15" hidden="false" customHeight="false" outlineLevel="0" collapsed="false">
      <c r="A27" s="6" t="s">
        <v>134</v>
      </c>
      <c r="B27" s="26" t="n">
        <f aca="false">SUM(Bens_Direitos!$E$6:$E$505)</f>
        <v>0</v>
      </c>
      <c r="C27" s="2"/>
    </row>
    <row r="28" customFormat="false" ht="15" hidden="false" customHeight="false" outlineLevel="0" collapsed="false">
      <c r="A28" s="6" t="s">
        <v>135</v>
      </c>
      <c r="B28" s="26" t="n">
        <f aca="false">SUM(Bens_Direitos!$F$6:$F$505)</f>
        <v>0</v>
      </c>
      <c r="C28" s="2"/>
    </row>
    <row r="29" customFormat="false" ht="15" hidden="false" customHeight="false" outlineLevel="0" collapsed="false">
      <c r="A29" s="6" t="s">
        <v>136</v>
      </c>
      <c r="B29" s="26" t="n">
        <f aca="false">SUM(Dividas!$D$6:$D$505)</f>
        <v>0</v>
      </c>
      <c r="C29" s="2"/>
    </row>
    <row r="30" customFormat="false" ht="15" hidden="false" customHeight="false" outlineLevel="0" collapsed="false">
      <c r="A30" s="6" t="s">
        <v>137</v>
      </c>
      <c r="B30" s="26" t="n">
        <f aca="false">SUM(Dividas!$E$6:$E$505)</f>
        <v>0</v>
      </c>
      <c r="C30" s="2"/>
    </row>
    <row r="31" customFormat="false" ht="15" hidden="false" customHeight="false" outlineLevel="0" collapsed="false">
      <c r="A31" s="6" t="s">
        <v>138</v>
      </c>
      <c r="B31" s="26" t="n">
        <f aca="false">B27-B29</f>
        <v>0</v>
      </c>
      <c r="C31" s="2"/>
    </row>
    <row r="32" customFormat="false" ht="15" hidden="false" customHeight="false" outlineLevel="0" collapsed="false">
      <c r="A32" s="9" t="s">
        <v>139</v>
      </c>
      <c r="B32" s="28" t="n">
        <f aca="false">B28-B30</f>
        <v>0</v>
      </c>
      <c r="C32" s="2"/>
    </row>
    <row r="33" customFormat="false" ht="15" hidden="false" customHeight="false" outlineLevel="0" collapsed="false">
      <c r="A33" s="6" t="s">
        <v>140</v>
      </c>
      <c r="B33" s="26" t="n">
        <f aca="false">B32-B31</f>
        <v>0</v>
      </c>
      <c r="C33" s="2"/>
    </row>
    <row r="34" customFormat="false" ht="15" hidden="false" customHeight="false" outlineLevel="0" collapsed="false">
      <c r="A34" s="24" t="s">
        <v>141</v>
      </c>
      <c r="B34" s="25"/>
      <c r="C34" s="25"/>
    </row>
    <row r="35" customFormat="false" ht="15" hidden="false" customHeight="false" outlineLevel="0" collapsed="false">
      <c r="A35" s="6" t="s">
        <v>142</v>
      </c>
      <c r="B35" s="27" t="n">
        <f aca="false">SUMPRODUCT((Rendimentos!$F$6:$F$505&lt;&gt;"")*(Rendimentos!$D$6:$D$505=""))</f>
        <v>0</v>
      </c>
      <c r="C35" s="2" t="s">
        <v>143</v>
      </c>
    </row>
    <row r="36" customFormat="false" ht="15" hidden="false" customHeight="false" outlineLevel="0" collapsed="false">
      <c r="A36" s="6" t="s">
        <v>144</v>
      </c>
      <c r="B36" s="27" t="n">
        <f aca="false">SUMPRODUCT((Deducoes!$F$6:$F$505&lt;&gt;"")*(Deducoes!$E$6:$E$505=""))</f>
        <v>0</v>
      </c>
      <c r="C36" s="2" t="s">
        <v>143</v>
      </c>
    </row>
    <row r="37" customFormat="false" ht="15" hidden="false" customHeight="false" outlineLevel="0" collapsed="false">
      <c r="A37" s="6" t="s">
        <v>145</v>
      </c>
      <c r="B37" s="29" t="str">
        <f aca="false">IF(B35+B36=0,"Tudo certo ✔","Há pendências ✖")</f>
        <v>Tudo certo ✔</v>
      </c>
      <c r="C37" s="2"/>
    </row>
  </sheetData>
  <conditionalFormatting sqref="B37">
    <cfRule type="expression" priority="2" aboveAverage="0" equalAverage="0" bottom="0" percent="0" rank="0" text="" dxfId="7">
      <formula>B35+B36=0</formula>
    </cfRule>
    <cfRule type="expression" priority="3" aboveAverage="0" equalAverage="0" bottom="0" percent="0" rank="0" text="" dxfId="6">
      <formula>B35+B36&gt;0</formula>
    </cfRule>
  </conditionalFormatting>
  <hyperlinks>
    <hyperlink ref="A3" location="'Menu'!A1" display="←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0"/>
  </cols>
  <sheetData>
    <row r="1" customFormat="false" ht="25.5" hidden="false" customHeight="true" outlineLevel="0" collapsed="false">
      <c r="A1" s="7" t="s">
        <v>146</v>
      </c>
    </row>
    <row r="2" customFormat="false" ht="15" hidden="false" customHeight="false" outlineLevel="0" collapsed="false">
      <c r="A2" s="2" t="s">
        <v>147</v>
      </c>
    </row>
    <row r="3" customFormat="false" ht="15" hidden="false" customHeight="false" outlineLevel="0" collapsed="false">
      <c r="A3" s="8" t="s">
        <v>28</v>
      </c>
    </row>
    <row r="5" customFormat="false" ht="31.5" hidden="false" customHeight="true" outlineLevel="0" collapsed="false">
      <c r="A5" s="13" t="s">
        <v>148</v>
      </c>
      <c r="B5" s="13" t="s">
        <v>149</v>
      </c>
    </row>
    <row r="6" customFormat="false" ht="15" hidden="false" customHeight="false" outlineLevel="0" collapsed="false">
      <c r="A6" s="30" t="s">
        <v>150</v>
      </c>
      <c r="B6" s="17" t="s">
        <v>151</v>
      </c>
    </row>
    <row r="7" customFormat="false" ht="15" hidden="false" customHeight="false" outlineLevel="0" collapsed="false">
      <c r="A7" s="30" t="s">
        <v>152</v>
      </c>
      <c r="B7" s="17" t="s">
        <v>153</v>
      </c>
    </row>
    <row r="8" customFormat="false" ht="15" hidden="false" customHeight="false" outlineLevel="0" collapsed="false">
      <c r="A8" s="30" t="s">
        <v>154</v>
      </c>
      <c r="B8" s="17" t="s">
        <v>155</v>
      </c>
    </row>
    <row r="9" customFormat="false" ht="15" hidden="false" customHeight="false" outlineLevel="0" collapsed="false">
      <c r="A9" s="30" t="s">
        <v>156</v>
      </c>
      <c r="B9" s="17" t="s">
        <v>157</v>
      </c>
    </row>
    <row r="10" customFormat="false" ht="15" hidden="false" customHeight="false" outlineLevel="0" collapsed="false">
      <c r="A10" s="30" t="s">
        <v>158</v>
      </c>
      <c r="B10" s="17" t="s">
        <v>159</v>
      </c>
    </row>
    <row r="11" customFormat="false" ht="15" hidden="false" customHeight="false" outlineLevel="0" collapsed="false">
      <c r="A11" s="30" t="s">
        <v>160</v>
      </c>
      <c r="B11" s="17" t="s">
        <v>161</v>
      </c>
    </row>
  </sheetData>
  <hyperlinks>
    <hyperlink ref="A3" location="'Menu'!A1" display="← Voltar ao Menu"/>
    <hyperlink ref="A6" r:id="rId1" display="Meu Imposto de Renda (Receita Federal)"/>
    <hyperlink ref="A7" r:id="rId2" display="Portal e-CAC"/>
    <hyperlink ref="A8" r:id="rId3" display="Consulta à restituição"/>
    <hyperlink ref="A9" r:id="rId4" display="Consulta de CNPJ"/>
    <hyperlink ref="A10" r:id="rId5" display="Meu INSS"/>
    <hyperlink ref="A11" r:id="rId6" display="Gov.b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28"/>
    <col collapsed="false" customWidth="true" hidden="false" outlineLevel="0" max="5" min="5" style="0" width="3"/>
    <col collapsed="false" customWidth="true" hidden="false" outlineLevel="0" max="6" min="6" style="0" width="28"/>
    <col collapsed="false" customWidth="true" hidden="false" outlineLevel="0" max="7" min="7" style="0" width="3"/>
    <col collapsed="false" customWidth="true" hidden="false" outlineLevel="0" max="8" min="8" style="0" width="36"/>
    <col collapsed="false" customWidth="true" hidden="false" outlineLevel="0" max="9" min="9" style="0" width="3"/>
    <col collapsed="false" customWidth="true" hidden="false" outlineLevel="0" max="10" min="10" style="0" width="10"/>
    <col collapsed="false" customWidth="true" hidden="false" outlineLevel="0" max="11" min="11" style="0" width="3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24" t="s">
        <v>54</v>
      </c>
      <c r="B1" s="24" t="s">
        <v>62</v>
      </c>
      <c r="D1" s="24" t="s">
        <v>71</v>
      </c>
      <c r="F1" s="24" t="s">
        <v>72</v>
      </c>
      <c r="H1" s="24" t="s">
        <v>44</v>
      </c>
      <c r="J1" s="24" t="s">
        <v>162</v>
      </c>
      <c r="L1" s="24" t="s">
        <v>163</v>
      </c>
    </row>
    <row r="2" customFormat="false" ht="15" hidden="false" customHeight="false" outlineLevel="0" collapsed="false">
      <c r="A2" s="6" t="s">
        <v>63</v>
      </c>
      <c r="B2" s="6" t="s">
        <v>68</v>
      </c>
      <c r="C2" s="6"/>
      <c r="D2" s="6" t="s">
        <v>79</v>
      </c>
      <c r="E2" s="6"/>
      <c r="F2" s="6" t="s">
        <v>66</v>
      </c>
      <c r="G2" s="6"/>
      <c r="H2" s="6" t="s">
        <v>164</v>
      </c>
      <c r="I2" s="6"/>
      <c r="J2" s="6" t="s">
        <v>50</v>
      </c>
      <c r="K2" s="6"/>
      <c r="L2" s="6" t="s">
        <v>165</v>
      </c>
    </row>
    <row r="3" customFormat="false" ht="15" hidden="false" customHeight="false" outlineLevel="0" collapsed="false">
      <c r="A3" s="6" t="s">
        <v>166</v>
      </c>
      <c r="B3" s="6" t="s">
        <v>68</v>
      </c>
      <c r="C3" s="6"/>
      <c r="D3" s="6" t="s">
        <v>167</v>
      </c>
      <c r="E3" s="6"/>
      <c r="F3" s="6" t="str">
        <f aca="false">IF(Dependentes!A6="","",Dependentes!A6)</f>
        <v/>
      </c>
      <c r="G3" s="6"/>
      <c r="H3" s="6" t="s">
        <v>49</v>
      </c>
      <c r="I3" s="6"/>
      <c r="J3" s="6" t="s">
        <v>168</v>
      </c>
      <c r="K3" s="6"/>
      <c r="L3" s="6" t="s">
        <v>169</v>
      </c>
    </row>
    <row r="4" customFormat="false" ht="15" hidden="false" customHeight="false" outlineLevel="0" collapsed="false">
      <c r="A4" s="6" t="s">
        <v>170</v>
      </c>
      <c r="B4" s="6" t="s">
        <v>68</v>
      </c>
      <c r="C4" s="6"/>
      <c r="D4" s="6" t="s">
        <v>171</v>
      </c>
      <c r="E4" s="6"/>
      <c r="F4" s="6" t="str">
        <f aca="false">IF(Dependentes!A7="","",Dependentes!A7)</f>
        <v/>
      </c>
      <c r="G4" s="6"/>
      <c r="H4" s="6" t="s">
        <v>172</v>
      </c>
      <c r="I4" s="6"/>
      <c r="J4" s="6"/>
      <c r="K4" s="6"/>
      <c r="L4" s="6" t="s">
        <v>173</v>
      </c>
    </row>
    <row r="5" customFormat="false" ht="15" hidden="false" customHeight="false" outlineLevel="0" collapsed="false">
      <c r="A5" s="6" t="s">
        <v>174</v>
      </c>
      <c r="B5" s="6" t="s">
        <v>68</v>
      </c>
      <c r="C5" s="6"/>
      <c r="D5" s="6" t="s">
        <v>122</v>
      </c>
      <c r="E5" s="6"/>
      <c r="F5" s="6" t="str">
        <f aca="false">IF(Dependentes!A8="","",Dependentes!A8)</f>
        <v/>
      </c>
      <c r="G5" s="6"/>
      <c r="H5" s="6" t="s">
        <v>175</v>
      </c>
      <c r="I5" s="6"/>
      <c r="J5" s="6"/>
      <c r="K5" s="6"/>
      <c r="L5" s="6" t="s">
        <v>176</v>
      </c>
    </row>
    <row r="6" customFormat="false" ht="15" hidden="false" customHeight="false" outlineLevel="0" collapsed="false">
      <c r="A6" s="6" t="s">
        <v>177</v>
      </c>
      <c r="B6" s="6" t="s">
        <v>68</v>
      </c>
      <c r="C6" s="6"/>
      <c r="D6" s="6" t="s">
        <v>123</v>
      </c>
      <c r="E6" s="6"/>
      <c r="F6" s="6" t="str">
        <f aca="false">IF(Dependentes!A9="","",Dependentes!A9)</f>
        <v/>
      </c>
      <c r="G6" s="6"/>
      <c r="H6" s="6" t="s">
        <v>178</v>
      </c>
      <c r="I6" s="6"/>
      <c r="J6" s="6"/>
      <c r="K6" s="6"/>
      <c r="L6" s="6" t="s">
        <v>91</v>
      </c>
    </row>
    <row r="7" customFormat="false" ht="15" hidden="false" customHeight="false" outlineLevel="0" collapsed="false">
      <c r="A7" s="6" t="s">
        <v>179</v>
      </c>
      <c r="B7" s="6" t="s">
        <v>180</v>
      </c>
      <c r="C7" s="6"/>
      <c r="D7" s="6"/>
      <c r="E7" s="6"/>
      <c r="F7" s="6" t="str">
        <f aca="false">IF(Dependentes!A10="","",Dependentes!A10)</f>
        <v/>
      </c>
      <c r="G7" s="6"/>
      <c r="H7" s="6" t="s">
        <v>181</v>
      </c>
      <c r="I7" s="6"/>
      <c r="J7" s="6"/>
      <c r="K7" s="6"/>
      <c r="L7" s="6" t="s">
        <v>182</v>
      </c>
    </row>
    <row r="8" customFormat="false" ht="15" hidden="false" customHeight="false" outlineLevel="0" collapsed="false">
      <c r="A8" s="6" t="s">
        <v>183</v>
      </c>
      <c r="B8" s="6" t="s">
        <v>180</v>
      </c>
      <c r="C8" s="6"/>
      <c r="D8" s="6"/>
      <c r="E8" s="6"/>
      <c r="F8" s="6" t="str">
        <f aca="false">IF(Dependentes!A11="","",Dependentes!A11)</f>
        <v/>
      </c>
      <c r="G8" s="6"/>
      <c r="H8" s="6" t="s">
        <v>184</v>
      </c>
      <c r="I8" s="6"/>
      <c r="J8" s="6"/>
      <c r="K8" s="6"/>
      <c r="L8" s="6" t="s">
        <v>185</v>
      </c>
    </row>
    <row r="9" customFormat="false" ht="15" hidden="false" customHeight="false" outlineLevel="0" collapsed="false">
      <c r="A9" s="6" t="s">
        <v>186</v>
      </c>
      <c r="B9" s="6" t="s">
        <v>180</v>
      </c>
      <c r="C9" s="6"/>
      <c r="D9" s="6"/>
      <c r="E9" s="6"/>
      <c r="F9" s="6" t="str">
        <f aca="false">IF(Dependentes!A12="","",Dependentes!A12)</f>
        <v/>
      </c>
      <c r="G9" s="6"/>
      <c r="H9" s="6"/>
      <c r="I9" s="6"/>
      <c r="J9" s="6"/>
      <c r="K9" s="6"/>
      <c r="L9" s="6" t="s">
        <v>187</v>
      </c>
    </row>
    <row r="10" customFormat="false" ht="15" hidden="false" customHeight="false" outlineLevel="0" collapsed="false">
      <c r="A10" s="6" t="s">
        <v>188</v>
      </c>
      <c r="B10" s="6" t="s">
        <v>180</v>
      </c>
      <c r="C10" s="6"/>
      <c r="D10" s="6"/>
      <c r="E10" s="6"/>
      <c r="F10" s="6" t="str">
        <f aca="false">IF(Dependentes!A13="","",Dependentes!A13)</f>
        <v/>
      </c>
      <c r="G10" s="6"/>
      <c r="H10" s="6"/>
      <c r="I10" s="6"/>
      <c r="J10" s="6"/>
      <c r="K10" s="6"/>
      <c r="L10" s="6"/>
    </row>
    <row r="11" customFormat="false" ht="15" hidden="false" customHeight="false" outlineLevel="0" collapsed="false">
      <c r="A11" s="6" t="s">
        <v>189</v>
      </c>
      <c r="B11" s="6" t="s">
        <v>190</v>
      </c>
      <c r="C11" s="6"/>
      <c r="D11" s="6"/>
      <c r="E11" s="6"/>
      <c r="F11" s="6" t="str">
        <f aca="false">IF(Dependentes!A14="","",Dependentes!A14)</f>
        <v/>
      </c>
      <c r="G11" s="6"/>
      <c r="H11" s="6"/>
      <c r="I11" s="6"/>
      <c r="J11" s="6"/>
      <c r="K11" s="6"/>
      <c r="L11" s="6"/>
    </row>
    <row r="12" customFormat="false" ht="15" hidden="false" customHeight="false" outlineLevel="0" collapsed="false">
      <c r="A12" s="6" t="s">
        <v>191</v>
      </c>
      <c r="B12" s="6" t="s">
        <v>190</v>
      </c>
      <c r="C12" s="6"/>
      <c r="D12" s="6"/>
      <c r="E12" s="6"/>
      <c r="F12" s="6" t="str">
        <f aca="false">IF(Dependentes!A15="","",Dependentes!A15)</f>
        <v/>
      </c>
      <c r="G12" s="6"/>
      <c r="H12" s="6"/>
      <c r="I12" s="6"/>
      <c r="J12" s="6"/>
      <c r="K12" s="6"/>
      <c r="L12" s="6"/>
    </row>
    <row r="13" customFormat="false" ht="15" hidden="false" customHeight="false" outlineLevel="0" collapsed="false">
      <c r="A13" s="6" t="s">
        <v>192</v>
      </c>
      <c r="B13" s="6" t="s">
        <v>190</v>
      </c>
      <c r="C13" s="6"/>
      <c r="D13" s="6"/>
      <c r="E13" s="6"/>
      <c r="F13" s="6" t="str">
        <f aca="false">IF(Dependentes!A16="","",Dependentes!A16)</f>
        <v/>
      </c>
      <c r="G13" s="6"/>
      <c r="H13" s="6"/>
      <c r="I13" s="6"/>
      <c r="J13" s="6"/>
      <c r="K13" s="6"/>
      <c r="L13" s="6"/>
    </row>
    <row r="14" customFormat="false" ht="15" hidden="false" customHeight="false" outlineLevel="0" collapsed="false">
      <c r="A14" s="6" t="s">
        <v>193</v>
      </c>
      <c r="B14" s="6" t="s">
        <v>190</v>
      </c>
      <c r="C14" s="6"/>
      <c r="D14" s="6"/>
      <c r="E14" s="6"/>
      <c r="F14" s="6" t="str">
        <f aca="false">IF(Dependentes!A17="","",Dependentes!A17)</f>
        <v/>
      </c>
      <c r="G14" s="6"/>
      <c r="H14" s="6"/>
      <c r="I14" s="6"/>
      <c r="J14" s="6"/>
      <c r="K14" s="6"/>
      <c r="L14" s="6"/>
    </row>
    <row r="15" customFormat="false" ht="15" hidden="false" customHeight="false" outlineLevel="0" collapsed="false">
      <c r="A15" s="6" t="s">
        <v>194</v>
      </c>
      <c r="B15" s="6" t="s">
        <v>190</v>
      </c>
      <c r="C15" s="6"/>
      <c r="D15" s="6"/>
      <c r="E15" s="6"/>
      <c r="F15" s="6" t="str">
        <f aca="false">IF(Dependentes!A18="","",Dependentes!A18)</f>
        <v/>
      </c>
      <c r="G15" s="6"/>
      <c r="H15" s="6"/>
      <c r="I15" s="6"/>
      <c r="J15" s="6"/>
      <c r="K15" s="6"/>
      <c r="L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 t="str">
        <f aca="false">IF(Dependentes!A19="","",Dependentes!A19)</f>
        <v/>
      </c>
      <c r="G16" s="6"/>
      <c r="H16" s="6"/>
      <c r="I16" s="6"/>
      <c r="J16" s="6"/>
      <c r="K16" s="6"/>
      <c r="L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 t="str">
        <f aca="false">IF(Dependentes!A20="","",Dependentes!A20)</f>
        <v/>
      </c>
      <c r="G17" s="6"/>
      <c r="H17" s="6"/>
      <c r="I17" s="6"/>
      <c r="J17" s="6"/>
      <c r="K17" s="6"/>
      <c r="L17" s="6"/>
    </row>
    <row r="18" customFormat="false" ht="15" hidden="false" customHeight="false" outlineLevel="0" collapsed="false">
      <c r="A18" s="2" t="s">
        <v>195</v>
      </c>
      <c r="B18" s="6"/>
      <c r="C18" s="6"/>
      <c r="D18" s="6"/>
      <c r="E18" s="6"/>
      <c r="F18" s="6" t="str">
        <f aca="false">IF(Dependentes!A21="","",Dependentes!A21)</f>
        <v/>
      </c>
      <c r="G18" s="6"/>
      <c r="H18" s="6"/>
      <c r="I18" s="6"/>
      <c r="J18" s="6"/>
      <c r="K18" s="6"/>
      <c r="L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 t="str">
        <f aca="false">IF(Dependentes!A22="","",Dependentes!A22)</f>
        <v/>
      </c>
      <c r="G19" s="6"/>
      <c r="H19" s="6"/>
      <c r="I19" s="6"/>
      <c r="J19" s="6"/>
      <c r="K19" s="6"/>
      <c r="L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 t="str">
        <f aca="false">IF(Dependentes!A23="","",Dependentes!A23)</f>
        <v/>
      </c>
      <c r="G20" s="6"/>
      <c r="H20" s="6"/>
      <c r="I20" s="6"/>
      <c r="J20" s="6"/>
      <c r="K20" s="6"/>
      <c r="L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 t="str">
        <f aca="false">IF(Dependentes!A24="","",Dependentes!A24)</f>
        <v/>
      </c>
      <c r="G21" s="6"/>
      <c r="H21" s="6"/>
      <c r="I21" s="6"/>
      <c r="J21" s="6"/>
      <c r="K21" s="6"/>
      <c r="L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 t="str">
        <f aca="false">IF(Dependentes!A25="","",Dependentes!A25)</f>
        <v/>
      </c>
      <c r="G22" s="6"/>
      <c r="H22" s="6"/>
      <c r="I22" s="6"/>
      <c r="J22" s="6"/>
      <c r="K22" s="6"/>
      <c r="L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 t="str">
        <f aca="false">IF(Dependentes!A26="","",Dependentes!A26)</f>
        <v/>
      </c>
      <c r="G23" s="6"/>
      <c r="H23" s="6"/>
      <c r="I23" s="6"/>
      <c r="J23" s="6"/>
      <c r="K23" s="6"/>
      <c r="L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 t="str">
        <f aca="false">IF(Dependentes!A27="","",Dependentes!A27)</f>
        <v/>
      </c>
      <c r="G24" s="6"/>
      <c r="H24" s="6"/>
      <c r="I24" s="6"/>
      <c r="J24" s="6"/>
      <c r="K24" s="6"/>
      <c r="L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 t="str">
        <f aca="false">IF(Dependentes!A28="","",Dependentes!A28)</f>
        <v/>
      </c>
      <c r="G25" s="6"/>
      <c r="H25" s="6"/>
      <c r="I25" s="6"/>
      <c r="J25" s="6"/>
      <c r="K25" s="6"/>
      <c r="L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 t="str">
        <f aca="false">IF(Dependentes!A29="","",Dependentes!A29)</f>
        <v/>
      </c>
      <c r="G26" s="6"/>
      <c r="H26" s="6"/>
      <c r="I26" s="6"/>
      <c r="J26" s="6"/>
      <c r="K26" s="6"/>
      <c r="L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 t="str">
        <f aca="false">IF(Dependentes!A30="","",Dependentes!A30)</f>
        <v/>
      </c>
      <c r="G27" s="6"/>
      <c r="H27" s="6"/>
      <c r="I27" s="6"/>
      <c r="J27" s="6"/>
      <c r="K27" s="6"/>
      <c r="L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 t="str">
        <f aca="false">IF(Dependentes!A31="","",Dependentes!A31)</f>
        <v/>
      </c>
      <c r="G28" s="6"/>
      <c r="H28" s="6"/>
      <c r="I28" s="6"/>
      <c r="J28" s="6"/>
      <c r="K28" s="6"/>
      <c r="L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 t="str">
        <f aca="false">IF(Dependentes!A32="","",Dependentes!A32)</f>
        <v/>
      </c>
      <c r="G29" s="6"/>
      <c r="H29" s="6"/>
      <c r="I29" s="6"/>
      <c r="J29" s="6"/>
      <c r="K29" s="6"/>
      <c r="L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 t="str">
        <f aca="false">IF(Dependentes!A33="","",Dependentes!A33)</f>
        <v/>
      </c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 t="str">
        <f aca="false">IF(Dependentes!A34="","",Dependentes!A34)</f>
        <v/>
      </c>
      <c r="G31" s="6"/>
      <c r="H31" s="6"/>
      <c r="I31" s="6"/>
      <c r="J31" s="6"/>
      <c r="K31" s="6"/>
      <c r="L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 t="str">
        <f aca="false">IF(Dependentes!A35="","",Dependentes!A35)</f>
        <v/>
      </c>
      <c r="G32" s="6"/>
      <c r="H32" s="6"/>
      <c r="I32" s="6"/>
      <c r="J32" s="6"/>
      <c r="K32" s="6"/>
      <c r="L3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2026-10-15T15:09:18Z</dcterms:created>
  <dc:creator>openpyxl</dc:creator>
  <dc:description/>
  <dc:language>en-US</dc:language>
  <cp:lastModifiedBy/>
  <dcterms:modified xsi:type="dcterms:W3CDTF">2026-10-15T15:09:19Z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